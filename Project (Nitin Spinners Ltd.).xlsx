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1c53472f4ed209f/Desktop/"/>
    </mc:Choice>
  </mc:AlternateContent>
  <xr:revisionPtr revIDLastSave="75" documentId="13_ncr:1_{25274028-17D8-4965-9C6D-B8A8AF74B6A8}" xr6:coauthVersionLast="47" xr6:coauthVersionMax="47" xr10:uidLastSave="{35531E6D-5E63-40CE-8BC6-A95A3DC9D3DD}"/>
  <bookViews>
    <workbookView xWindow="-108" yWindow="-108" windowWidth="23256" windowHeight="12456" tabRatio="807" xr2:uid="{00000000-000D-0000-FFFF-FFFF00000000}"/>
  </bookViews>
  <sheets>
    <sheet name="Cover" sheetId="1" r:id="rId1"/>
    <sheet name="1_Financial_Data" sheetId="2" r:id="rId2"/>
    <sheet name="2_Ratio_Analysis" sheetId="3" r:id="rId3"/>
    <sheet name="3_Altman_ZScore" sheetId="4" r:id="rId4"/>
    <sheet name="4_Credit_Rating" sheetId="5" r:id="rId5"/>
    <sheet name="5_Peer_Comparison" sheetId="6" r:id="rId6"/>
    <sheet name="Raw datasheet" sheetId="8" r:id="rId7"/>
    <sheet name="Sql Export" sheetId="9" r:id="rId8"/>
    <sheet name="Pbi Export" sheetId="10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6" l="1"/>
  <c r="D16" i="6"/>
  <c r="E16" i="6"/>
  <c r="F16" i="6"/>
  <c r="B16" i="6"/>
  <c r="C14" i="6"/>
  <c r="D14" i="6"/>
  <c r="E14" i="6"/>
  <c r="F14" i="6"/>
  <c r="G14" i="6"/>
  <c r="B14" i="6"/>
  <c r="D21" i="5"/>
  <c r="D15" i="5"/>
  <c r="D16" i="5"/>
  <c r="D17" i="5"/>
  <c r="D14" i="5"/>
  <c r="D6" i="5"/>
  <c r="D7" i="5"/>
  <c r="D8" i="5"/>
  <c r="D9" i="5"/>
  <c r="D10" i="5"/>
  <c r="D11" i="5"/>
  <c r="D5" i="5"/>
  <c r="E27" i="2"/>
  <c r="F27" i="2"/>
  <c r="F6" i="3" s="1"/>
  <c r="D35" i="6"/>
  <c r="E35" i="6"/>
  <c r="F35" i="6"/>
  <c r="G35" i="6"/>
  <c r="D34" i="6"/>
  <c r="E34" i="6"/>
  <c r="F34" i="6"/>
  <c r="G34" i="6"/>
  <c r="D33" i="6"/>
  <c r="E33" i="6"/>
  <c r="F33" i="6"/>
  <c r="G33" i="6"/>
  <c r="E32" i="6"/>
  <c r="F32" i="6"/>
  <c r="G32" i="6"/>
  <c r="E31" i="6"/>
  <c r="F31" i="6"/>
  <c r="G23" i="6"/>
  <c r="G31" i="6" s="1"/>
  <c r="F11" i="6"/>
  <c r="F10" i="6"/>
  <c r="C23" i="6"/>
  <c r="B10" i="6"/>
  <c r="D28" i="6"/>
  <c r="D27" i="6"/>
  <c r="D26" i="6"/>
  <c r="D25" i="6"/>
  <c r="D32" i="6" s="1"/>
  <c r="D24" i="6"/>
  <c r="D31" i="6" s="1"/>
  <c r="D23" i="6"/>
  <c r="F26" i="6"/>
  <c r="F23" i="6"/>
  <c r="E11" i="6"/>
  <c r="D11" i="6"/>
  <c r="E28" i="6"/>
  <c r="C11" i="6"/>
  <c r="F8" i="4"/>
  <c r="G8" i="4"/>
  <c r="H8" i="4"/>
  <c r="I8" i="4"/>
  <c r="E8" i="4"/>
  <c r="F9" i="4"/>
  <c r="I9" i="4"/>
  <c r="E9" i="4"/>
  <c r="F5" i="4"/>
  <c r="I5" i="4"/>
  <c r="F6" i="4"/>
  <c r="I6" i="4"/>
  <c r="F7" i="4"/>
  <c r="I7" i="4"/>
  <c r="E7" i="4"/>
  <c r="E6" i="4"/>
  <c r="E5" i="4"/>
  <c r="E27" i="3"/>
  <c r="F27" i="3"/>
  <c r="G27" i="3"/>
  <c r="D27" i="3"/>
  <c r="E26" i="3"/>
  <c r="F26" i="3"/>
  <c r="G26" i="3"/>
  <c r="D26" i="3"/>
  <c r="D22" i="3"/>
  <c r="E22" i="3"/>
  <c r="F22" i="3"/>
  <c r="G22" i="3"/>
  <c r="D23" i="3"/>
  <c r="E23" i="3"/>
  <c r="F23" i="3"/>
  <c r="G23" i="3"/>
  <c r="D24" i="3"/>
  <c r="G24" i="3"/>
  <c r="D19" i="3"/>
  <c r="E19" i="3"/>
  <c r="F19" i="3"/>
  <c r="G19" i="3"/>
  <c r="C19" i="3"/>
  <c r="C24" i="3"/>
  <c r="C23" i="3"/>
  <c r="C22" i="3"/>
  <c r="D20" i="3"/>
  <c r="E20" i="3"/>
  <c r="F20" i="3"/>
  <c r="G20" i="3"/>
  <c r="C20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G17" i="3"/>
  <c r="C17" i="3"/>
  <c r="C16" i="3"/>
  <c r="C15" i="3"/>
  <c r="C14" i="3"/>
  <c r="C13" i="3"/>
  <c r="D8" i="3"/>
  <c r="E8" i="3"/>
  <c r="F8" i="3"/>
  <c r="G8" i="3"/>
  <c r="D9" i="3"/>
  <c r="F9" i="3"/>
  <c r="G9" i="3"/>
  <c r="D10" i="3"/>
  <c r="E10" i="3"/>
  <c r="F10" i="3"/>
  <c r="G10" i="3"/>
  <c r="D11" i="3"/>
  <c r="E11" i="3"/>
  <c r="F11" i="3"/>
  <c r="G11" i="3"/>
  <c r="C11" i="3"/>
  <c r="C10" i="3"/>
  <c r="C9" i="3"/>
  <c r="C8" i="3"/>
  <c r="D4" i="3"/>
  <c r="F4" i="3"/>
  <c r="G4" i="3"/>
  <c r="D5" i="3"/>
  <c r="G5" i="3"/>
  <c r="D6" i="3"/>
  <c r="E6" i="3"/>
  <c r="G6" i="3"/>
  <c r="C6" i="3"/>
  <c r="C5" i="3"/>
  <c r="C4" i="3"/>
  <c r="G42" i="2"/>
  <c r="D24" i="2"/>
  <c r="E24" i="2"/>
  <c r="F24" i="2"/>
  <c r="G24" i="2"/>
  <c r="C24" i="2"/>
  <c r="D41" i="2"/>
  <c r="E41" i="2"/>
  <c r="F41" i="2"/>
  <c r="G41" i="2"/>
  <c r="C41" i="2"/>
  <c r="D38" i="2"/>
  <c r="E38" i="2"/>
  <c r="F38" i="2"/>
  <c r="G38" i="2"/>
  <c r="D39" i="2"/>
  <c r="E39" i="2"/>
  <c r="F39" i="2"/>
  <c r="G39" i="2"/>
  <c r="D40" i="2"/>
  <c r="E40" i="2"/>
  <c r="F40" i="2"/>
  <c r="G40" i="2"/>
  <c r="C40" i="2"/>
  <c r="C39" i="2"/>
  <c r="C38" i="2"/>
  <c r="D34" i="2"/>
  <c r="E34" i="2"/>
  <c r="F34" i="2"/>
  <c r="G34" i="2"/>
  <c r="C34" i="2"/>
  <c r="D33" i="2"/>
  <c r="F33" i="2"/>
  <c r="H5" i="4" s="1"/>
  <c r="G33" i="2"/>
  <c r="C33" i="2"/>
  <c r="D32" i="2"/>
  <c r="F32" i="2"/>
  <c r="H9" i="4" s="1"/>
  <c r="G32" i="2"/>
  <c r="C32" i="2"/>
  <c r="D30" i="2"/>
  <c r="E30" i="2"/>
  <c r="F30" i="2"/>
  <c r="F31" i="2" s="1"/>
  <c r="F5" i="3" s="1"/>
  <c r="G30" i="2"/>
  <c r="D31" i="2"/>
  <c r="E31" i="2"/>
  <c r="E4" i="3" s="1"/>
  <c r="G31" i="2"/>
  <c r="C30" i="2"/>
  <c r="C31" i="2"/>
  <c r="D26" i="2"/>
  <c r="E26" i="2"/>
  <c r="F26" i="2"/>
  <c r="G26" i="2"/>
  <c r="C26" i="2"/>
  <c r="D25" i="2"/>
  <c r="E25" i="2"/>
  <c r="F25" i="2"/>
  <c r="G25" i="2"/>
  <c r="D27" i="2"/>
  <c r="G27" i="2"/>
  <c r="D28" i="2"/>
  <c r="E28" i="2"/>
  <c r="F28" i="2"/>
  <c r="G28" i="2"/>
  <c r="D29" i="2"/>
  <c r="E29" i="2"/>
  <c r="F29" i="2"/>
  <c r="G29" i="2"/>
  <c r="C29" i="2"/>
  <c r="C28" i="2"/>
  <c r="C27" i="2"/>
  <c r="C25" i="2"/>
  <c r="D23" i="2"/>
  <c r="E23" i="2"/>
  <c r="F23" i="2"/>
  <c r="G23" i="2"/>
  <c r="C23" i="2"/>
  <c r="D22" i="2"/>
  <c r="E22" i="2"/>
  <c r="F22" i="2"/>
  <c r="G22" i="2"/>
  <c r="C22" i="2"/>
  <c r="D17" i="2"/>
  <c r="D19" i="2" s="1"/>
  <c r="E17" i="2"/>
  <c r="E19" i="2" s="1"/>
  <c r="F17" i="2"/>
  <c r="F19" i="2" s="1"/>
  <c r="G17" i="2"/>
  <c r="G19" i="2" s="1"/>
  <c r="D18" i="2"/>
  <c r="E18" i="2"/>
  <c r="F18" i="2"/>
  <c r="G18" i="2"/>
  <c r="D20" i="2"/>
  <c r="E20" i="2"/>
  <c r="F20" i="2"/>
  <c r="G20" i="2"/>
  <c r="D21" i="2"/>
  <c r="E21" i="2"/>
  <c r="F21" i="2"/>
  <c r="G21" i="2"/>
  <c r="C21" i="2"/>
  <c r="C20" i="2"/>
  <c r="C18" i="2"/>
  <c r="C17" i="2"/>
  <c r="C19" i="2" s="1"/>
  <c r="D13" i="2"/>
  <c r="E13" i="2"/>
  <c r="F13" i="2"/>
  <c r="G13" i="2"/>
  <c r="C13" i="2"/>
  <c r="D10" i="2"/>
  <c r="E10" i="2"/>
  <c r="F10" i="2"/>
  <c r="G10" i="2"/>
  <c r="C10" i="2"/>
  <c r="D11" i="2"/>
  <c r="E11" i="2"/>
  <c r="F11" i="2"/>
  <c r="G11" i="2"/>
  <c r="D8" i="2"/>
  <c r="E8" i="2"/>
  <c r="F8" i="2"/>
  <c r="G8" i="2"/>
  <c r="D6" i="2"/>
  <c r="E6" i="2"/>
  <c r="F6" i="2"/>
  <c r="G6" i="2"/>
  <c r="C6" i="2"/>
  <c r="C7" i="2" s="1"/>
  <c r="C11" i="2"/>
  <c r="C8" i="2"/>
  <c r="D5" i="2"/>
  <c r="E5" i="2"/>
  <c r="F5" i="2"/>
  <c r="G5" i="2"/>
  <c r="C5" i="2"/>
  <c r="H7" i="4" l="1"/>
  <c r="H6" i="4"/>
  <c r="F17" i="3"/>
  <c r="F24" i="3"/>
  <c r="E33" i="2"/>
  <c r="G5" i="4" s="1"/>
  <c r="E32" i="2"/>
  <c r="E5" i="3"/>
  <c r="G7" i="2"/>
  <c r="G9" i="2" s="1"/>
  <c r="G12" i="2" s="1"/>
  <c r="G14" i="2" s="1"/>
  <c r="F7" i="2"/>
  <c r="F9" i="2" s="1"/>
  <c r="F12" i="2" s="1"/>
  <c r="F14" i="2" s="1"/>
  <c r="C9" i="2"/>
  <c r="C12" i="2" s="1"/>
  <c r="C14" i="2" s="1"/>
  <c r="E7" i="2"/>
  <c r="E9" i="2" s="1"/>
  <c r="E12" i="2" s="1"/>
  <c r="E14" i="2" s="1"/>
  <c r="D7" i="2"/>
  <c r="D9" i="2" s="1"/>
  <c r="D12" i="2" s="1"/>
  <c r="D14" i="2" s="1"/>
  <c r="G9" i="4" l="1"/>
  <c r="E9" i="3"/>
  <c r="E24" i="3"/>
  <c r="E17" i="3"/>
  <c r="G6" i="4"/>
  <c r="G13" i="4" s="1"/>
  <c r="G7" i="4"/>
  <c r="C35" i="6"/>
  <c r="C34" i="6"/>
  <c r="C33" i="6"/>
  <c r="C32" i="6"/>
  <c r="C31" i="6"/>
  <c r="G12" i="6"/>
  <c r="G11" i="6"/>
  <c r="G10" i="6"/>
  <c r="G9" i="6"/>
  <c r="G8" i="6"/>
  <c r="G7" i="6"/>
  <c r="G6" i="6"/>
  <c r="G5" i="6"/>
  <c r="G4" i="6"/>
  <c r="D20" i="5"/>
  <c r="I16" i="4"/>
  <c r="H16" i="4"/>
  <c r="G16" i="4"/>
  <c r="F16" i="4"/>
  <c r="E16" i="4"/>
  <c r="I15" i="4"/>
  <c r="H15" i="4"/>
  <c r="G15" i="4"/>
  <c r="F15" i="4"/>
  <c r="E15" i="4"/>
  <c r="I14" i="4"/>
  <c r="H14" i="4"/>
  <c r="G14" i="4"/>
  <c r="F14" i="4"/>
  <c r="E14" i="4"/>
  <c r="I13" i="4"/>
  <c r="H13" i="4"/>
  <c r="F13" i="4"/>
  <c r="E13" i="4"/>
  <c r="I12" i="4"/>
  <c r="H12" i="4"/>
  <c r="G12" i="4"/>
  <c r="F12" i="4"/>
  <c r="E12" i="4"/>
  <c r="G37" i="6" l="1"/>
  <c r="F37" i="6"/>
  <c r="E37" i="6"/>
  <c r="D37" i="6"/>
  <c r="C37" i="6"/>
  <c r="E19" i="4"/>
  <c r="E20" i="4" s="1"/>
  <c r="F19" i="4"/>
  <c r="F20" i="4" s="1"/>
  <c r="H19" i="4"/>
  <c r="H20" i="4" s="1"/>
  <c r="G19" i="4"/>
  <c r="G20" i="4" s="1"/>
  <c r="I19" i="4"/>
  <c r="I20" i="4" s="1"/>
  <c r="F38" i="6" l="1"/>
  <c r="E13" i="6"/>
  <c r="C38" i="6"/>
  <c r="B13" i="6"/>
  <c r="D38" i="6"/>
  <c r="C13" i="6"/>
  <c r="E38" i="6"/>
  <c r="D13" i="6"/>
  <c r="G38" i="6"/>
  <c r="F13" i="6"/>
  <c r="G13" i="6" l="1"/>
</calcChain>
</file>

<file path=xl/sharedStrings.xml><?xml version="1.0" encoding="utf-8"?>
<sst xmlns="http://schemas.openxmlformats.org/spreadsheetml/2006/main" count="552" uniqueCount="416">
  <si>
    <t>Credit Risk Analysis | Altman Z-Score | Financial Ratios | Loan Recommendation</t>
  </si>
  <si>
    <t>Company Name</t>
  </si>
  <si>
    <t>Sector / Industry</t>
  </si>
  <si>
    <t>Data Source</t>
  </si>
  <si>
    <t>Screener.in — 5 Year Financials</t>
  </si>
  <si>
    <t>Analysis Period</t>
  </si>
  <si>
    <t>FY2020 – FY2024</t>
  </si>
  <si>
    <t>Prepared By</t>
  </si>
  <si>
    <t>Date</t>
  </si>
  <si>
    <t>WORKBOOK NAVIGATION</t>
  </si>
  <si>
    <t>1</t>
  </si>
  <si>
    <t>2</t>
  </si>
  <si>
    <t>Ratio Analysis</t>
  </si>
  <si>
    <t>Computed liquidity, leverage &amp; profitability ratios</t>
  </si>
  <si>
    <t>3</t>
  </si>
  <si>
    <t>Altman Z-Score</t>
  </si>
  <si>
    <t>5-year Z-Score model with distress zone classification</t>
  </si>
  <si>
    <t>4</t>
  </si>
  <si>
    <t>Credit Rating</t>
  </si>
  <si>
    <t>Scorecard → Green / Amber / Red recommendation</t>
  </si>
  <si>
    <t>5</t>
  </si>
  <si>
    <t>Peer Comparison</t>
  </si>
  <si>
    <t>COLOUR LEGEND</t>
  </si>
  <si>
    <t xml:space="preserve">  Aa  </t>
  </si>
  <si>
    <t>Blue text  = Hardcoded input (you enter this)</t>
  </si>
  <si>
    <t>Black text = Formula (auto-calculated)</t>
  </si>
  <si>
    <t>Green text = Cross-sheet link</t>
  </si>
  <si>
    <t>Line Item</t>
  </si>
  <si>
    <t>Source Field (Screener)</t>
  </si>
  <si>
    <t>FY2020</t>
  </si>
  <si>
    <t>FY2021</t>
  </si>
  <si>
    <t>FY2022</t>
  </si>
  <si>
    <t>FY2023</t>
  </si>
  <si>
    <t>FY2024</t>
  </si>
  <si>
    <t>Notes</t>
  </si>
  <si>
    <t>Revenue from Operations</t>
  </si>
  <si>
    <t>Net Sales / Revenue</t>
  </si>
  <si>
    <t>Other Income</t>
  </si>
  <si>
    <t>EBITDA</t>
  </si>
  <si>
    <t>← revenue – all opex</t>
  </si>
  <si>
    <t>Depreciation &amp; Amortisation</t>
  </si>
  <si>
    <t>Depreciation</t>
  </si>
  <si>
    <t>EBIT</t>
  </si>
  <si>
    <t>← ebitda – Depreciation</t>
  </si>
  <si>
    <t>Finance Costs (Interest)</t>
  </si>
  <si>
    <t>Interest / Finance Cost</t>
  </si>
  <si>
    <t>Profit Before Tax (PBT)</t>
  </si>
  <si>
    <t>PBT</t>
  </si>
  <si>
    <t>Tax Expense</t>
  </si>
  <si>
    <t>Tax</t>
  </si>
  <si>
    <t>Profit After Tax (PAT)</t>
  </si>
  <si>
    <t>PAT / Net Profit</t>
  </si>
  <si>
    <t>Share Capital</t>
  </si>
  <si>
    <t>Reserves &amp; Surplus</t>
  </si>
  <si>
    <t>Reserves</t>
  </si>
  <si>
    <t>Total Equity</t>
  </si>
  <si>
    <t>← share capital + reserves</t>
  </si>
  <si>
    <t>Long-Term Borrowings</t>
  </si>
  <si>
    <t>Long Term Debt</t>
  </si>
  <si>
    <t>Short-Term Borrowings</t>
  </si>
  <si>
    <t>Short Term Debt / Current portion</t>
  </si>
  <si>
    <t>Total Debt</t>
  </si>
  <si>
    <t>← lt + st borrowings</t>
  </si>
  <si>
    <t>Current Liabilities (Other)</t>
  </si>
  <si>
    <t>Trade Payables + Other CL</t>
  </si>
  <si>
    <t>Total Liabilities</t>
  </si>
  <si>
    <t>← equity + total debt + other cl</t>
  </si>
  <si>
    <t>Fixed Assets (Net Block)</t>
  </si>
  <si>
    <t>Net Block / PP&amp;E</t>
  </si>
  <si>
    <t>Total Non-Current Assets</t>
  </si>
  <si>
    <t>Non-Current Assets</t>
  </si>
  <si>
    <t>Cash &amp; Cash Equivalents</t>
  </si>
  <si>
    <t>Cash &amp; Bank</t>
  </si>
  <si>
    <t>Trade Receivables (Debtors)</t>
  </si>
  <si>
    <t>Debtors</t>
  </si>
  <si>
    <t>Inventories</t>
  </si>
  <si>
    <t>Inventory</t>
  </si>
  <si>
    <t>Other Current Assets</t>
  </si>
  <si>
    <t>Other CA</t>
  </si>
  <si>
    <t>Total Current Assets</t>
  </si>
  <si>
    <t>← cash+debtors+inventory+other</t>
  </si>
  <si>
    <t>Total Assets</t>
  </si>
  <si>
    <t>← non-current + current assets</t>
  </si>
  <si>
    <t>Working Capital</t>
  </si>
  <si>
    <t>← current assets – Current Liab</t>
  </si>
  <si>
    <t>Retained Earnings</t>
  </si>
  <si>
    <t>Cumulative Reserves (from BS)</t>
  </si>
  <si>
    <t>Market Capitalisation</t>
  </si>
  <si>
    <t>From Screener / BSE/NSE</t>
  </si>
  <si>
    <t>Cash Flow from Operations (CFO)</t>
  </si>
  <si>
    <t>CFO</t>
  </si>
  <si>
    <t>Cash Flow from Investing (CFI)</t>
  </si>
  <si>
    <t>CFI</t>
  </si>
  <si>
    <t>Cash Flow from Financing (CFF)</t>
  </si>
  <si>
    <t>CFF</t>
  </si>
  <si>
    <t>Net Cash Flow</t>
  </si>
  <si>
    <t>← cfo+cfi+cff</t>
  </si>
  <si>
    <t>Annual Debt Repayment</t>
  </si>
  <si>
    <t>EMI / Principal paid (from CFF notes)</t>
  </si>
  <si>
    <t>Ratio</t>
  </si>
  <si>
    <t>Formula</t>
  </si>
  <si>
    <t>Benchmark</t>
  </si>
  <si>
    <t>Interpretation</t>
  </si>
  <si>
    <t>LIQUIDITY RATIOS</t>
  </si>
  <si>
    <t>Current Ratio</t>
  </si>
  <si>
    <t>Current Assets / Current Liabilities</t>
  </si>
  <si>
    <t>&gt; 1.5×</t>
  </si>
  <si>
    <t>Higher = better short-term liquidity. Below 1× is danger zone.</t>
  </si>
  <si>
    <t>Quick Ratio</t>
  </si>
  <si>
    <t>(Current Assets – Inventory) / Current Liabilities</t>
  </si>
  <si>
    <t>&gt; 1.0×</t>
  </si>
  <si>
    <t>Excludes inventory. Tests immediate payment ability.</t>
  </si>
  <si>
    <t>Cash Ratio</t>
  </si>
  <si>
    <t>Cash / Current Liabilities</t>
  </si>
  <si>
    <t>&gt; 0.5×</t>
  </si>
  <si>
    <t>Most conservative liquidity test.</t>
  </si>
  <si>
    <t>LEVERAGE / SOLVENCY RATIOS</t>
  </si>
  <si>
    <t>Debt-to-Equity (D/E)</t>
  </si>
  <si>
    <t>Total Debt / Total Equity</t>
  </si>
  <si>
    <t>&lt; 2.0×</t>
  </si>
  <si>
    <t>Higher D/E = more leveraged = higher credit risk.</t>
  </si>
  <si>
    <t>Debt-to-Assets</t>
  </si>
  <si>
    <t>Total Debt / Total Assets</t>
  </si>
  <si>
    <t>&lt; 0.5</t>
  </si>
  <si>
    <t>What % of assets are financed by debt.</t>
  </si>
  <si>
    <t>Interest Coverage Ratio</t>
  </si>
  <si>
    <t>EBIT / Interest Expense</t>
  </si>
  <si>
    <t>&gt; 2.5×</t>
  </si>
  <si>
    <t>Ability to pay interest. Below 1.5× = serious concern.</t>
  </si>
  <si>
    <t>Total Liabilities to Equity</t>
  </si>
  <si>
    <t>Total Liabilities / Total Equity</t>
  </si>
  <si>
    <t>&lt; 3.0×</t>
  </si>
  <si>
    <t>Broader leverage check including trade payables.</t>
  </si>
  <si>
    <t>PROFITABILITY RATIOS</t>
  </si>
  <si>
    <t>EBITDA Margin</t>
  </si>
  <si>
    <t>EBITDA / Revenue</t>
  </si>
  <si>
    <t>&gt; 15%</t>
  </si>
  <si>
    <t>Core operating profitability before non-cash items.</t>
  </si>
  <si>
    <t>EBIT Margin</t>
  </si>
  <si>
    <t>EBIT / Revenue</t>
  </si>
  <si>
    <t>&gt; 10%</t>
  </si>
  <si>
    <t>Operating profit after depreciation.</t>
  </si>
  <si>
    <t>PAT Margin (Net Margin)</t>
  </si>
  <si>
    <t>PAT / Revenue</t>
  </si>
  <si>
    <t>&gt; 5%</t>
  </si>
  <si>
    <t>Bottom-line profitability after all costs &amp; tax.</t>
  </si>
  <si>
    <t>Return on Equity (ROE)</t>
  </si>
  <si>
    <t>PAT / Total Equity</t>
  </si>
  <si>
    <t>&gt; 12%</t>
  </si>
  <si>
    <t>Return generated for shareholders.</t>
  </si>
  <si>
    <t>Return on Assets (ROA)</t>
  </si>
  <si>
    <t>PAT / Total Assets</t>
  </si>
  <si>
    <t>Efficiency of asset utilisation.</t>
  </si>
  <si>
    <t>DEBT SERVICEABILITY RATIOS</t>
  </si>
  <si>
    <t>DSCR</t>
  </si>
  <si>
    <t>CFO / (Interest + Debt Repayment)</t>
  </si>
  <si>
    <t>&gt; 1.25×</t>
  </si>
  <si>
    <t>KEY RATIO for lenders. Below 1.0× = cannot service debt from operations.</t>
  </si>
  <si>
    <t>CFO to Total Debt</t>
  </si>
  <si>
    <t>CFO / Total Debt</t>
  </si>
  <si>
    <t>&gt; 0.2</t>
  </si>
  <si>
    <t>How fast can the company repay debt from operations.</t>
  </si>
  <si>
    <t>EFFICIENCY / ACTIVITY RATIOS</t>
  </si>
  <si>
    <t>Debtor Days</t>
  </si>
  <si>
    <t>(Trade Receivables / Revenue) × 365</t>
  </si>
  <si>
    <t>&lt; 60 days</t>
  </si>
  <si>
    <t>How long to collect from customers. Lower = better.</t>
  </si>
  <si>
    <t>Inventory Days</t>
  </si>
  <si>
    <t>(Inventory / Revenue) × 365</t>
  </si>
  <si>
    <t>&lt; 90 days</t>
  </si>
  <si>
    <t>How fast inventory is sold. Lower = better.</t>
  </si>
  <si>
    <t>Asset Turnover</t>
  </si>
  <si>
    <t>Revenue / Total Assets</t>
  </si>
  <si>
    <t>&gt; 0.8×</t>
  </si>
  <si>
    <t>Revenue generated per rupee of assets.</t>
  </si>
  <si>
    <t>GROWTH METRICS</t>
  </si>
  <si>
    <t>Revenue Growth YoY</t>
  </si>
  <si>
    <t>(Revenue_t / Revenue_t-1) – 1</t>
  </si>
  <si>
    <t>N/A</t>
  </si>
  <si>
    <t>&gt; 10% p.a.</t>
  </si>
  <si>
    <t>Consistent growth signals business health.</t>
  </si>
  <si>
    <t>PAT Growth YoY</t>
  </si>
  <si>
    <t>(PAT_t / PAT_t-1) – 1</t>
  </si>
  <si>
    <t>Earnings growth shows improving profitability.</t>
  </si>
  <si>
    <t>ALTMAN Z-SCORE MODEL  —  Bankruptcy Prediction &amp; Default Risk</t>
  </si>
  <si>
    <t>Formula: Z = 1.2×X1 + 1.4×X2 + 3.3×X3 + 0.6×X4 + 1.0×X5   |   Safe Zone: Z &gt; 2.99  |  Grey Zone: 1.81–2.99  |  Distress Zone: Z &lt; 1.81</t>
  </si>
  <si>
    <t>Variable</t>
  </si>
  <si>
    <t>Component</t>
  </si>
  <si>
    <t>Weight</t>
  </si>
  <si>
    <t>STEP 1 — COMPUTE THE FIVE VARIABLES (Raw Ratios)</t>
  </si>
  <si>
    <t>X1</t>
  </si>
  <si>
    <t>Working Capital / Total Assets</t>
  </si>
  <si>
    <t>Liquidity of assets</t>
  </si>
  <si>
    <t>X2</t>
  </si>
  <si>
    <t>Retained Earnings / Total Assets</t>
  </si>
  <si>
    <t>Cumulative profitability</t>
  </si>
  <si>
    <t>X3</t>
  </si>
  <si>
    <t>EBIT / Total Assets</t>
  </si>
  <si>
    <t>Operating efficiency</t>
  </si>
  <si>
    <t>X4</t>
  </si>
  <si>
    <t>Market Capitalisation / Total Liabilities</t>
  </si>
  <si>
    <t>Market-based solvency</t>
  </si>
  <si>
    <t>X5</t>
  </si>
  <si>
    <t>Asset utilisation</t>
  </si>
  <si>
    <t>STEP 2 — WEIGHTED COMPONENTS  (Weight × Variable)</t>
  </si>
  <si>
    <t>1.2×X1</t>
  </si>
  <si>
    <t>1.2 × X1</t>
  </si>
  <si>
    <t>Weight × X1 value</t>
  </si>
  <si>
    <t>1.4×X2</t>
  </si>
  <si>
    <t>1.4 × X2</t>
  </si>
  <si>
    <t>Weight × X2 value</t>
  </si>
  <si>
    <t>3.3×X3</t>
  </si>
  <si>
    <t>3.3 × X3</t>
  </si>
  <si>
    <t>Weight × X3 value</t>
  </si>
  <si>
    <t>0.6×X4</t>
  </si>
  <si>
    <t>0.6 × X4</t>
  </si>
  <si>
    <t>Weight × X4 value</t>
  </si>
  <si>
    <t>1.0×X5</t>
  </si>
  <si>
    <t>1.0 × X5</t>
  </si>
  <si>
    <t>Weight × X5 value</t>
  </si>
  <si>
    <t>STEP 3 — ALTMAN Z-SCORE  &amp;  RISK ZONE CLASSIFICATION</t>
  </si>
  <si>
    <t>Z-Score</t>
  </si>
  <si>
    <t>Risk Zone</t>
  </si>
  <si>
    <t>IF Z&gt;2.99 → "✅ Safe Zone"  |  1.81–2.99 → "⚠ Grey Zone"  |  &lt;1.81 → "🔴 Distress"</t>
  </si>
  <si>
    <t>ZONE THRESHOLDS &amp; INTERPRETATION</t>
  </si>
  <si>
    <t>Above 2.99</t>
  </si>
  <si>
    <t>✅ SAFE ZONE</t>
  </si>
  <si>
    <t>Company is financially healthy. Low probability of default. Suitable for credit.</t>
  </si>
  <si>
    <t>1.81 – 2.99</t>
  </si>
  <si>
    <t>⚠ GREY ZONE</t>
  </si>
  <si>
    <t>Caution warranted. Requires deeper analysis. Add monitoring covenants if lending.</t>
  </si>
  <si>
    <t>Below 1.81</t>
  </si>
  <si>
    <t>🔴 DISTRESS ZONE</t>
  </si>
  <si>
    <t>High bankruptcy risk. Decline or seek strong collateral. Review trend direction.</t>
  </si>
  <si>
    <t>CREDIT RATING SCORECARD  —  Final Loan Recommendation</t>
  </si>
  <si>
    <t>Criterion</t>
  </si>
  <si>
    <t>Weight (%)</t>
  </si>
  <si>
    <t>Score (1-5)</t>
  </si>
  <si>
    <t>Weighted Score</t>
  </si>
  <si>
    <t>Benchmark Reference</t>
  </si>
  <si>
    <t>Score Guide</t>
  </si>
  <si>
    <t>QUANTITATIVE CRITERIA  (70% weight)</t>
  </si>
  <si>
    <t>DSCR (FY2024)</t>
  </si>
  <si>
    <t>Pull from Ratio Analysis sheet</t>
  </si>
  <si>
    <t>5: &gt;2.0  |  4: 1.5-2.0  |  3: 1.25-1.5  |  2: 1.0-1.25  |  1: &lt;1.0</t>
  </si>
  <si>
    <t>Debt-to-Equity</t>
  </si>
  <si>
    <t>5: &lt;0.5  |  4: 0.5-1.0  |  3: 1.0-2.0   |  2: 2.0-3.0   |  1: &gt;3.0</t>
  </si>
  <si>
    <t>5: &gt;25%  |  4: 15-25%   |  3: 10-15%    |  2: 5-10%     |  1: &lt;5%</t>
  </si>
  <si>
    <t>Revenue Growth (3yr avg)</t>
  </si>
  <si>
    <t>Average of FY22-24 growth</t>
  </si>
  <si>
    <t>5: &gt;20%  |  4: 10-20%   |  3: 5-10%     |  2: 0-5%      |  1: Negative</t>
  </si>
  <si>
    <t>Pull from Z-Score sheet</t>
  </si>
  <si>
    <t>5: &gt;3.5  |  4: 2.99-3.5 |  3: 1.81-2.99 |  2: 1.0-1.81  |  1: &lt;1.0</t>
  </si>
  <si>
    <t>Interest Coverage</t>
  </si>
  <si>
    <t>5: &gt;5.0  |  4: 3.0-5.0  |  3: 2.0-3.0   |  2: 1.5-2.0   |  1: &lt;1.5</t>
  </si>
  <si>
    <t>QUALITATIVE CRITERIA  (30% weight)</t>
  </si>
  <si>
    <t>Management Quality &amp; Track Record</t>
  </si>
  <si>
    <t>Industry experience, promoter background, governance</t>
  </si>
  <si>
    <t>5: Excellent  |  4: Good  |  3: Average  |  2: Below avg  |  1: Concerns</t>
  </si>
  <si>
    <t>Industry Outlook</t>
  </si>
  <si>
    <t>Sector growth, regulatory environment, competition</t>
  </si>
  <si>
    <t>5: Very positive  |  4: Positive  |  3: Stable  |  2: Uncertain  |  1: Declining</t>
  </si>
  <si>
    <t>Collateral / Security Coverage</t>
  </si>
  <si>
    <t>Asset coverage ratio, quality of collateral</t>
  </si>
  <si>
    <t>5: &gt;2.0×  |  4: 1.5-2.0×  |  3: 1.0-1.5×  |  2: &lt;1.0×  |  1: No collateral</t>
  </si>
  <si>
    <t>Business Model Sustainability</t>
  </si>
  <si>
    <t>Customer diversification, product moat, repeat revenue</t>
  </si>
  <si>
    <t>5: Very stable  |  4: Stable  |  3: Moderate risk  |  2: High risk  |  1: Unsustainable</t>
  </si>
  <si>
    <t>FINAL SCORE &amp; CREDIT DECISION</t>
  </si>
  <si>
    <t>TOTAL WEIGHTED SCORE</t>
  </si>
  <si>
    <t>Out of 5.00 maximum</t>
  </si>
  <si>
    <t>CREDIT RECOMMENDATION</t>
  </si>
  <si>
    <t>RATING SCALE REFERENCE</t>
  </si>
  <si>
    <t>3.5 – 5.0</t>
  </si>
  <si>
    <t>✅ GREEN</t>
  </si>
  <si>
    <t>Approve. Strong financials. Standard terms.</t>
  </si>
  <si>
    <t>2.5 – 3.49</t>
  </si>
  <si>
    <t>⚠ AMBER</t>
  </si>
  <si>
    <t>Conditional. Add covenants, enhanced monitoring, or collateral.</t>
  </si>
  <si>
    <t>0 – 2.49</t>
  </si>
  <si>
    <t>🔴 RED</t>
  </si>
  <si>
    <t>Decline or refer to senior credit committee with mitigation plan.</t>
  </si>
  <si>
    <t>Metric</t>
  </si>
  <si>
    <t>Best in Peer</t>
  </si>
  <si>
    <t>Revenue (₹ Lakhs)</t>
  </si>
  <si>
    <t>EBITDA Margin (%)</t>
  </si>
  <si>
    <t>ROE (%)</t>
  </si>
  <si>
    <t>OVERALL PEER RANK  (Based on Altman Z-Score + DSCR + EBITDA Margin)</t>
  </si>
  <si>
    <t>Composite Rank</t>
  </si>
  <si>
    <t>PEER ALTMAN Z-SCORE CALCULATOR  —  FY2024 Snapshot (All 5 Companies)</t>
  </si>
  <si>
    <t>Enter FY2024 values (₹ Lakhs) in the YELLOW cells below. Z-Score and Risk Zone auto-calculate. These feed into the Peer Comparison table above.</t>
  </si>
  <si>
    <t>Input / Variable</t>
  </si>
  <si>
    <t>STEP 1 — RAW INPUTS  (Paste from Screener FY2024 data, ₹ Lakhs)</t>
  </si>
  <si>
    <t>Current Assets – Current Liabilities</t>
  </si>
  <si>
    <t>Balance Sheet total</t>
  </si>
  <si>
    <t>Revenue – OpEx – Depreciation</t>
  </si>
  <si>
    <t>Equity + Debt + Other Liabilities</t>
  </si>
  <si>
    <t>Revenue</t>
  </si>
  <si>
    <t>Net Sales / Revenue from Operations</t>
  </si>
  <si>
    <t>From Screener / BSE market cap</t>
  </si>
  <si>
    <t>STEP 2 — FIVE VARIABLES  (Auto-calculated)</t>
  </si>
  <si>
    <t>X1  (1.2×)</t>
  </si>
  <si>
    <t>X2  (1.4×)</t>
  </si>
  <si>
    <t>X3  (3.3×)</t>
  </si>
  <si>
    <t>X4  (0.6×)</t>
  </si>
  <si>
    <t>Market Cap / Total Liabilities</t>
  </si>
  <si>
    <t>X5  (1.0×)</t>
  </si>
  <si>
    <t>STEP 3 — ALTMAN Z-SCORE  &amp;  RISK ZONE</t>
  </si>
  <si>
    <t>1.2×X1 + 1.4×X2 + 3.3×X3 + 0.6×X4 + 1.0×X5</t>
  </si>
  <si>
    <t>&gt;2.99 Safe | 1.81–2.99 Grey | &lt;1.81 Distress</t>
  </si>
  <si>
    <t>ZONE REFERENCE</t>
  </si>
  <si>
    <t>Low default risk — suitable for lending</t>
  </si>
  <si>
    <t>1.81–2.99</t>
  </si>
  <si>
    <t>Monitor closely — add covenants if lending</t>
  </si>
  <si>
    <t>🔴 DISTRESS</t>
  </si>
  <si>
    <t>High default risk — decline or seek collateral</t>
  </si>
  <si>
    <t>PROFIT &amp; LOSS STATEMENT  (₹ crores)</t>
  </si>
  <si>
    <t>RAW FINANCIAL DATA OF NITIN SPINNERS —  Source: Screener.in</t>
  </si>
  <si>
    <t>Profit and Loss Statement</t>
  </si>
  <si>
    <t>Sales </t>
  </si>
  <si>
    <t>Operating Profit</t>
  </si>
  <si>
    <t>OPM %</t>
  </si>
  <si>
    <t>Other Income </t>
  </si>
  <si>
    <t>Interest</t>
  </si>
  <si>
    <t>Profit before tax</t>
  </si>
  <si>
    <t>Tax %</t>
  </si>
  <si>
    <t>Net Profit </t>
  </si>
  <si>
    <t>EPS in Rs</t>
  </si>
  <si>
    <t>Dividend Payout %</t>
  </si>
  <si>
    <t>Balance Sheet</t>
  </si>
  <si>
    <t>Equity Capital</t>
  </si>
  <si>
    <t>CWIP</t>
  </si>
  <si>
    <t>Investments</t>
  </si>
  <si>
    <t>Cash Flow Statement</t>
  </si>
  <si>
    <t>Cash from Operating Activity </t>
  </si>
  <si>
    <t>Cash from Investing Activity </t>
  </si>
  <si>
    <t>Cash from Financing Activity </t>
  </si>
  <si>
    <t>Free Cash Flow</t>
  </si>
  <si>
    <t>Expenses</t>
  </si>
  <si>
    <t>Expenses (Opex)</t>
  </si>
  <si>
    <t>Apart from revenue from operations</t>
  </si>
  <si>
    <t>Opex</t>
  </si>
  <si>
    <t>Long term Borrowings</t>
  </si>
  <si>
    <t>Short term Borrowings</t>
  </si>
  <si>
    <t>Lease Liabilities</t>
  </si>
  <si>
    <t>Other Borrowings</t>
  </si>
  <si>
    <t>Trade Payables</t>
  </si>
  <si>
    <t>Advance from Customers</t>
  </si>
  <si>
    <t>Other liability items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</si>
  <si>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</si>
  <si>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</si>
  <si>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</si>
  <si>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</si>
  <si>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</si>
  <si>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</si>
  <si>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</si>
  <si>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</si>
  <si>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</si>
  <si>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</si>
  <si>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Trade receivables</t>
  </si>
  <si>
    <t>Cash Equivalents</t>
  </si>
  <si>
    <t>Loans n Advances</t>
  </si>
  <si>
    <t>Other asset items</t>
  </si>
  <si>
    <t>Other Liabilities -</t>
  </si>
  <si>
    <t>Fixed Assets -</t>
  </si>
  <si>
    <t>Other Assets -</t>
  </si>
  <si>
    <t>Borrowings -</t>
  </si>
  <si>
    <t>Interest Paid</t>
  </si>
  <si>
    <t>Taken from CFF</t>
  </si>
  <si>
    <t>Z-Score for all five years</t>
  </si>
  <si>
    <t>PBT Margin (%)</t>
  </si>
  <si>
    <t>Revenue Growth YoY (%)(last years avg)</t>
  </si>
  <si>
    <t>Company_name</t>
  </si>
  <si>
    <t>Sector</t>
  </si>
  <si>
    <t>Fiscal_year</t>
  </si>
  <si>
    <t>PAT</t>
  </si>
  <si>
    <t>Interest_Expense</t>
  </si>
  <si>
    <t>Total_assets</t>
  </si>
  <si>
    <t>Total_equity</t>
  </si>
  <si>
    <t>Total_debt</t>
  </si>
  <si>
    <t>Current_assets</t>
  </si>
  <si>
    <t>Current_liability</t>
  </si>
  <si>
    <t>Debt_repayment</t>
  </si>
  <si>
    <t>Market_cap</t>
  </si>
  <si>
    <t>Retained_Earnings</t>
  </si>
  <si>
    <t>Working_Capital</t>
  </si>
  <si>
    <t>Nitin Spinners Ltd.</t>
  </si>
  <si>
    <t>Sportking India Ltd.</t>
  </si>
  <si>
    <t>Sangam India Ltd</t>
  </si>
  <si>
    <t>Pashupati Cotspin Ltd.</t>
  </si>
  <si>
    <t>Sutlej Textiles and Industries Ltd.</t>
  </si>
  <si>
    <t>Deepak Spinners Ltd.</t>
  </si>
  <si>
    <t>Textile</t>
  </si>
  <si>
    <t>⚠ Grey Zone</t>
  </si>
  <si>
    <t>✅ Safe Zone</t>
  </si>
  <si>
    <t>NITIN SPINNERS LIMITED</t>
  </si>
  <si>
    <t>Textiles</t>
  </si>
  <si>
    <t>Avantika Pandey</t>
  </si>
  <si>
    <t>Financials pasted from Screener.in here</t>
  </si>
  <si>
    <t xml:space="preserve">  Sportking India Ltd</t>
  </si>
  <si>
    <t xml:space="preserve"> Sangam (India) Ltd</t>
  </si>
  <si>
    <t xml:space="preserve"> Pashupati Cotspin</t>
  </si>
  <si>
    <t xml:space="preserve"> Sutlej Textiles and Industries</t>
  </si>
  <si>
    <t xml:space="preserve"> Deepak Spinners</t>
  </si>
  <si>
    <r>
      <t>Raw Financial Data of Nitin Spinners Ltd.(</t>
    </r>
    <r>
      <rPr>
        <i/>
        <sz val="11"/>
        <color theme="0"/>
        <rFont val="Calibri"/>
        <family val="2"/>
        <scheme val="minor"/>
      </rPr>
      <t>All figures in ₹ crores</t>
    </r>
    <r>
      <rPr>
        <sz val="11"/>
        <color theme="0"/>
        <rFont val="Calibri"/>
        <family val="2"/>
      </rPr>
      <t>)</t>
    </r>
  </si>
  <si>
    <t>Financial Data</t>
  </si>
  <si>
    <t>Weighted Composite Score</t>
  </si>
  <si>
    <t>PEER COMPARISON  —  5 MSMEs, Same Sector, Latest Year (FY2024)</t>
  </si>
  <si>
    <t>Side-by-side analysis of 5 MSME companies</t>
  </si>
  <si>
    <t>BALANCE SHEET  (₹ crores)</t>
  </si>
  <si>
    <t>CASH FLOW STATEMENT  (₹ crores)</t>
  </si>
  <si>
    <t>RATIO ANALYSIS  —  Formulas pulled from Raw Data sheet</t>
  </si>
  <si>
    <t>DESCRIPTION :  Screener.in → Searched company → Exported to Excel → Pasted P&amp;L, Balance Sheet, Cash Flow data below in ₹ CRORES</t>
  </si>
  <si>
    <t>DESCRIPTION: For each criterion, entered a score 1-5 in the yellow Score column for the LATEST YEAR (FY2024) based on the benchmarks. The model totals the score and maps it to a Green / Amber / Red credit recommendation.</t>
  </si>
  <si>
    <t>DESCRIPTION: Entered company names in Row 3 (columns B–F). Filled each company's FY2024 ratio values below in BLUE. Formulas auto-rank and flag best performer.</t>
  </si>
  <si>
    <t>MSME CREDIT APPRAISAL MODEL( NITIN SPINNERS LTD)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</si>
</sst>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"/>
    <numFmt numFmtId="166" formatCode="0.000"/>
    <numFmt numFmtId="167" formatCode="0.0%"/>
  </numFmts>
  <fonts count="53" x14ac:knownFonts="1">
    <font>
      <sz val="11"/>
      <color theme="1"/>
      <name val="Calibri"/>
      <family val="2"/>
      <charset val="1"/>
    </font>
    <font>
      <b/>
      <sz val="26"/>
      <color rgb="FFFFFFFF"/>
      <name val="Arial"/>
      <charset val="1"/>
    </font>
    <font>
      <b/>
      <sz val="11"/>
      <color rgb="FF1F3864"/>
      <name val="Arial"/>
      <charset val="1"/>
    </font>
    <font>
      <sz val="11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0070C0"/>
      <name val="Arial"/>
      <charset val="1"/>
    </font>
    <font>
      <b/>
      <sz val="10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0"/>
      <color rgb="FF000000"/>
      <name val="Arial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9.5"/>
      <color rgb="FF000000"/>
      <name val="Arial"/>
      <charset val="1"/>
    </font>
    <font>
      <sz val="9.5"/>
      <color rgb="FF0070C0"/>
      <name val="Arial"/>
      <charset val="1"/>
    </font>
    <font>
      <b/>
      <sz val="9.5"/>
      <color rgb="FF000000"/>
      <name val="Arial"/>
      <charset val="1"/>
    </font>
    <font>
      <sz val="9.5"/>
      <name val="Arial"/>
      <charset val="1"/>
    </font>
    <font>
      <b/>
      <sz val="9.5"/>
      <name val="Arial"/>
      <charset val="1"/>
    </font>
    <font>
      <i/>
      <sz val="8.5"/>
      <color rgb="FF595959"/>
      <name val="Arial"/>
      <charset val="1"/>
    </font>
    <font>
      <sz val="9.5"/>
      <color rgb="FF375623"/>
      <name val="Arial"/>
      <charset val="1"/>
    </font>
    <font>
      <b/>
      <sz val="9"/>
      <color rgb="FF2F5496"/>
      <name val="Arial"/>
      <charset val="1"/>
    </font>
    <font>
      <i/>
      <sz val="9.5"/>
      <color rgb="FF595959"/>
      <name val="Arial"/>
      <charset val="1"/>
    </font>
    <font>
      <i/>
      <sz val="9.5"/>
      <color rgb="FF1F3864"/>
      <name val="Arial"/>
      <charset val="1"/>
    </font>
    <font>
      <b/>
      <sz val="11"/>
      <color rgb="FF2F5496"/>
      <name val="Arial"/>
      <charset val="1"/>
    </font>
    <font>
      <b/>
      <sz val="10"/>
      <color rgb="FF2F5496"/>
      <name val="Arial"/>
      <charset val="1"/>
    </font>
    <font>
      <b/>
      <sz val="12"/>
      <color rgb="FF1F3864"/>
      <name val="Arial"/>
      <charset val="1"/>
    </font>
    <font>
      <i/>
      <sz val="9.5"/>
      <name val="Arial"/>
      <charset val="1"/>
    </font>
    <font>
      <b/>
      <sz val="9.5"/>
      <color rgb="FF0070C0"/>
      <name val="Arial"/>
      <charset val="1"/>
    </font>
    <font>
      <b/>
      <sz val="11"/>
      <color rgb="FF0070C0"/>
      <name val="Arial"/>
      <charset val="1"/>
    </font>
    <font>
      <sz val="8"/>
      <color rgb="FF595959"/>
      <name val="Arial"/>
      <charset val="1"/>
    </font>
    <font>
      <b/>
      <sz val="11"/>
      <name val="Arial"/>
      <charset val="1"/>
    </font>
    <font>
      <b/>
      <sz val="13"/>
      <color rgb="FF1F3864"/>
      <name val="Arial"/>
      <charset val="1"/>
    </font>
    <font>
      <b/>
      <sz val="12"/>
      <name val="Arial"/>
      <charset val="1"/>
    </font>
    <font>
      <b/>
      <sz val="12"/>
      <color rgb="FFFFFFFF"/>
      <name val="Arial"/>
      <charset val="1"/>
    </font>
    <font>
      <b/>
      <sz val="9"/>
      <name val="Arial"/>
      <charset val="1"/>
    </font>
    <font>
      <sz val="9.5"/>
      <color rgb="FF000000"/>
      <name val="Arial"/>
      <family val="2"/>
    </font>
    <font>
      <b/>
      <sz val="10"/>
      <color theme="6" tint="-0.499984740745262"/>
      <name val="Arial"/>
      <family val="2"/>
    </font>
    <font>
      <i/>
      <sz val="9"/>
      <color rgb="FF595959"/>
      <name val="Arial"/>
      <family val="2"/>
    </font>
    <font>
      <sz val="9.5"/>
      <color rgb="FF00B05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color theme="1"/>
      <name val="Arial"/>
      <family val="2"/>
    </font>
    <font>
      <b/>
      <i/>
      <sz val="12"/>
      <color rgb="FFFFFFFF"/>
      <name val="Arial"/>
      <family val="2"/>
    </font>
    <font>
      <b/>
      <i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</font>
    <font>
      <i/>
      <sz val="11"/>
      <color theme="0"/>
      <name val="Calibri"/>
      <family val="2"/>
      <scheme val="minor"/>
    </font>
    <font>
      <b/>
      <i/>
      <sz val="16"/>
      <color rgb="FF595959"/>
      <name val="Arial"/>
      <family val="2"/>
    </font>
    <font>
      <sz val="10"/>
      <color theme="1"/>
      <name val="Calibri"/>
      <family val="2"/>
      <charset val="1"/>
    </font>
    <font>
      <i/>
      <sz val="10"/>
      <color rgb="FF595959"/>
      <name val="Arial"/>
      <family val="2"/>
    </font>
    <font>
      <i/>
      <sz val="11"/>
      <color rgb="FF595959"/>
      <name val="Arial"/>
      <family val="2"/>
    </font>
    <font>
      <b/>
      <sz val="26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FE699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8" tint="-0.499984740745262"/>
        <bgColor rgb="FF2F5496"/>
      </patternFill>
    </fill>
    <fill>
      <patternFill patternType="solid">
        <fgColor theme="8" tint="-0.249977111117893"/>
        <bgColor rgb="FF1F3864"/>
      </patternFill>
    </fill>
    <fill>
      <patternFill patternType="solid">
        <fgColor theme="8" tint="-0.249977111117893"/>
        <bgColor rgb="FF2F5496"/>
      </patternFill>
    </fill>
    <fill>
      <patternFill patternType="solid">
        <fgColor theme="8" tint="-0.499984740745262"/>
        <bgColor rgb="FF1F3864"/>
      </patternFill>
    </fill>
    <fill>
      <patternFill patternType="solid">
        <fgColor theme="4" tint="0.79998168889431442"/>
        <bgColor rgb="FFE2EFDA"/>
      </patternFill>
    </fill>
    <fill>
      <patternFill patternType="solid">
        <fgColor theme="8" tint="-0.499984740745262"/>
        <bgColor rgb="FFFCE4D6"/>
      </patternFill>
    </fill>
    <fill>
      <patternFill patternType="solid">
        <fgColor theme="8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40" fillId="0" borderId="0" applyFont="0" applyFill="0" applyBorder="0" applyAlignment="0" applyProtection="0"/>
  </cellStyleXfs>
  <cellXfs count="135">
    <xf numFmtId="0" fontId="0" fillId="0" borderId="0" xfId="0"/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Border="1"/>
    <xf numFmtId="0" fontId="16" fillId="0" borderId="1" xfId="0" applyFont="1" applyBorder="1" applyAlignment="1">
      <alignment horizontal="left" vertical="center"/>
    </xf>
    <xf numFmtId="165" fontId="5" fillId="2" borderId="1" xfId="0" applyNumberFormat="1" applyFont="1" applyFill="1" applyBorder="1" applyAlignment="1">
      <alignment horizontal="center" vertical="center"/>
    </xf>
    <xf numFmtId="2" fontId="25" fillId="6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27" fillId="0" borderId="1" xfId="0" applyNumberFormat="1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2" fontId="13" fillId="8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/>
    </xf>
    <xf numFmtId="2" fontId="31" fillId="6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3" fontId="24" fillId="3" borderId="1" xfId="0" applyNumberFormat="1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167" fontId="24" fillId="3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2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/>
    </xf>
    <xf numFmtId="166" fontId="19" fillId="8" borderId="1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0" fillId="9" borderId="0" xfId="0" applyFill="1"/>
    <xf numFmtId="3" fontId="0" fillId="0" borderId="0" xfId="0" applyNumberFormat="1"/>
    <xf numFmtId="9" fontId="0" fillId="0" borderId="0" xfId="0" applyNumberFormat="1"/>
    <xf numFmtId="0" fontId="36" fillId="0" borderId="0" xfId="0" applyFont="1" applyAlignment="1">
      <alignment horizontal="center" vertical="center"/>
    </xf>
    <xf numFmtId="17" fontId="0" fillId="0" borderId="0" xfId="0" applyNumberFormat="1"/>
    <xf numFmtId="4" fontId="0" fillId="0" borderId="0" xfId="0" applyNumberFormat="1"/>
    <xf numFmtId="2" fontId="19" fillId="0" borderId="1" xfId="0" applyNumberFormat="1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39" fillId="0" borderId="0" xfId="0" applyFont="1"/>
    <xf numFmtId="0" fontId="39" fillId="0" borderId="0" xfId="0" applyFont="1" applyAlignment="1">
      <alignment horizontal="center" vertical="center"/>
    </xf>
    <xf numFmtId="164" fontId="13" fillId="0" borderId="1" xfId="0" applyNumberFormat="1" applyFont="1" applyBorder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2" fontId="13" fillId="7" borderId="1" xfId="0" applyNumberFormat="1" applyFont="1" applyFill="1" applyBorder="1" applyAlignment="1">
      <alignment horizontal="left" vertical="center"/>
    </xf>
    <xf numFmtId="2" fontId="11" fillId="0" borderId="1" xfId="0" applyNumberFormat="1" applyFont="1" applyBorder="1" applyAlignment="1">
      <alignment horizontal="left" vertical="center"/>
    </xf>
    <xf numFmtId="2" fontId="38" fillId="0" borderId="1" xfId="0" applyNumberFormat="1" applyFont="1" applyBorder="1" applyAlignment="1">
      <alignment horizontal="right" vertical="center"/>
    </xf>
    <xf numFmtId="2" fontId="0" fillId="0" borderId="1" xfId="0" applyNumberFormat="1" applyBorder="1"/>
    <xf numFmtId="2" fontId="37" fillId="0" borderId="1" xfId="0" applyNumberFormat="1" applyFont="1" applyBorder="1" applyAlignment="1">
      <alignment horizontal="left" vertical="center"/>
    </xf>
    <xf numFmtId="2" fontId="15" fillId="8" borderId="1" xfId="0" applyNumberFormat="1" applyFont="1" applyFill="1" applyBorder="1" applyAlignment="1">
      <alignment horizontal="left" vertical="center"/>
    </xf>
    <xf numFmtId="2" fontId="13" fillId="8" borderId="1" xfId="0" applyNumberFormat="1" applyFont="1" applyFill="1" applyBorder="1" applyAlignment="1">
      <alignment horizontal="right" vertical="center"/>
    </xf>
    <xf numFmtId="2" fontId="35" fillId="10" borderId="1" xfId="0" applyNumberFormat="1" applyFont="1" applyFill="1" applyBorder="1" applyAlignment="1">
      <alignment horizontal="left" vertical="center"/>
    </xf>
    <xf numFmtId="2" fontId="16" fillId="7" borderId="1" xfId="0" applyNumberFormat="1" applyFont="1" applyFill="1" applyBorder="1" applyAlignment="1">
      <alignment horizontal="left" vertical="center"/>
    </xf>
    <xf numFmtId="2" fontId="17" fillId="8" borderId="1" xfId="0" applyNumberFormat="1" applyFont="1" applyFill="1" applyBorder="1" applyAlignment="1">
      <alignment horizontal="left" vertical="center"/>
    </xf>
    <xf numFmtId="2" fontId="14" fillId="0" borderId="1" xfId="0" applyNumberFormat="1" applyFont="1" applyBorder="1" applyAlignment="1">
      <alignment horizontal="right" vertical="center"/>
    </xf>
    <xf numFmtId="9" fontId="19" fillId="0" borderId="1" xfId="1" applyFont="1" applyBorder="1" applyAlignment="1">
      <alignment horizontal="center" vertical="center"/>
    </xf>
    <xf numFmtId="2" fontId="16" fillId="0" borderId="1" xfId="1" applyNumberFormat="1" applyFont="1" applyBorder="1" applyAlignment="1">
      <alignment horizontal="left" vertical="center"/>
    </xf>
    <xf numFmtId="2" fontId="18" fillId="0" borderId="1" xfId="1" applyNumberFormat="1" applyFont="1" applyBorder="1" applyAlignment="1">
      <alignment horizontal="left" vertical="center" wrapText="1"/>
    </xf>
    <xf numFmtId="2" fontId="19" fillId="0" borderId="1" xfId="1" applyNumberFormat="1" applyFont="1" applyBorder="1" applyAlignment="1">
      <alignment horizontal="center" vertical="center"/>
    </xf>
    <xf numFmtId="2" fontId="20" fillId="0" borderId="1" xfId="1" applyNumberFormat="1" applyFont="1" applyBorder="1" applyAlignment="1">
      <alignment horizontal="center" vertical="center"/>
    </xf>
    <xf numFmtId="1" fontId="19" fillId="0" borderId="1" xfId="1" applyNumberFormat="1" applyFont="1" applyBorder="1" applyAlignment="1">
      <alignment horizontal="center" vertical="center"/>
    </xf>
    <xf numFmtId="9" fontId="21" fillId="0" borderId="1" xfId="1" applyFont="1" applyBorder="1" applyAlignment="1">
      <alignment horizontal="center" vertical="center"/>
    </xf>
    <xf numFmtId="2" fontId="0" fillId="0" borderId="0" xfId="0" applyNumberFormat="1"/>
    <xf numFmtId="165" fontId="23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0" fillId="0" borderId="1" xfId="0" applyNumberFormat="1" applyBorder="1"/>
    <xf numFmtId="165" fontId="24" fillId="0" borderId="1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left" vertical="center"/>
    </xf>
    <xf numFmtId="10" fontId="0" fillId="0" borderId="0" xfId="1" applyNumberFormat="1" applyFont="1"/>
    <xf numFmtId="1" fontId="0" fillId="0" borderId="0" xfId="0" applyNumberFormat="1"/>
    <xf numFmtId="0" fontId="12" fillId="11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/>
    </xf>
    <xf numFmtId="0" fontId="45" fillId="16" borderId="1" xfId="0" applyFont="1" applyFill="1" applyBorder="1" applyAlignment="1">
      <alignment horizontal="center" vertical="center"/>
    </xf>
    <xf numFmtId="0" fontId="45" fillId="14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6" fillId="17" borderId="0" xfId="0" applyFont="1" applyFill="1"/>
    <xf numFmtId="0" fontId="44" fillId="11" borderId="0" xfId="0" applyFont="1" applyFill="1" applyAlignment="1">
      <alignment horizontal="left" vertical="center"/>
    </xf>
    <xf numFmtId="0" fontId="43" fillId="12" borderId="1" xfId="0" applyFont="1" applyFill="1" applyBorder="1" applyAlignment="1">
      <alignment horizontal="left" vertical="center"/>
    </xf>
    <xf numFmtId="0" fontId="42" fillId="13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26" fillId="4" borderId="1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1" fillId="11" borderId="0" xfId="0" applyFont="1" applyFill="1" applyAlignment="1">
      <alignment horizontal="center" vertical="center"/>
    </xf>
    <xf numFmtId="0" fontId="42" fillId="1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41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15" borderId="0" xfId="0" applyFont="1" applyFill="1" applyAlignment="1">
      <alignment horizontal="left" vertical="center" wrapText="1"/>
    </xf>
    <xf numFmtId="2" fontId="43" fillId="12" borderId="1" xfId="0" applyNumberFormat="1" applyFont="1" applyFill="1" applyBorder="1" applyAlignment="1">
      <alignment horizontal="left" vertical="center"/>
    </xf>
    <xf numFmtId="0" fontId="22" fillId="15" borderId="2" xfId="0" applyFont="1" applyFill="1" applyBorder="1" applyAlignment="1">
      <alignment horizontal="left" vertical="center"/>
    </xf>
    <xf numFmtId="0" fontId="43" fillId="12" borderId="3" xfId="0" applyFont="1" applyFill="1" applyBorder="1" applyAlignment="1">
      <alignment horizontal="left" vertical="center"/>
    </xf>
    <xf numFmtId="0" fontId="43" fillId="12" borderId="4" xfId="0" applyFont="1" applyFill="1" applyBorder="1" applyAlignment="1">
      <alignment horizontal="left" vertical="center"/>
    </xf>
    <xf numFmtId="0" fontId="43" fillId="12" borderId="5" xfId="0" applyFont="1" applyFill="1" applyBorder="1" applyAlignment="1">
      <alignment horizontal="left" vertical="center"/>
    </xf>
    <xf numFmtId="165" fontId="43" fillId="12" borderId="3" xfId="0" applyNumberFormat="1" applyFont="1" applyFill="1" applyBorder="1" applyAlignment="1">
      <alignment horizontal="left" vertical="center"/>
    </xf>
    <xf numFmtId="165" fontId="43" fillId="12" borderId="4" xfId="0" applyNumberFormat="1" applyFont="1" applyFill="1" applyBorder="1" applyAlignment="1">
      <alignment horizontal="left" vertical="center"/>
    </xf>
    <xf numFmtId="165" fontId="43" fillId="12" borderId="5" xfId="0" applyNumberFormat="1" applyFont="1" applyFill="1" applyBorder="1" applyAlignment="1">
      <alignment horizontal="left" vertical="center"/>
    </xf>
    <xf numFmtId="0" fontId="26" fillId="3" borderId="3" xfId="0" applyFont="1" applyFill="1" applyBorder="1" applyAlignment="1">
      <alignment horizontal="left" vertical="center"/>
    </xf>
    <xf numFmtId="0" fontId="26" fillId="3" borderId="4" xfId="0" applyFont="1" applyFill="1" applyBorder="1" applyAlignment="1">
      <alignment horizontal="left" vertical="center"/>
    </xf>
    <xf numFmtId="0" fontId="26" fillId="3" borderId="5" xfId="0" applyFont="1" applyFill="1" applyBorder="1" applyAlignment="1">
      <alignment horizontal="left" vertical="center"/>
    </xf>
    <xf numFmtId="0" fontId="26" fillId="4" borderId="3" xfId="0" applyFont="1" applyFill="1" applyBorder="1" applyAlignment="1">
      <alignment horizontal="left" vertical="center"/>
    </xf>
    <xf numFmtId="0" fontId="26" fillId="4" borderId="4" xfId="0" applyFont="1" applyFill="1" applyBorder="1" applyAlignment="1">
      <alignment horizontal="left" vertical="center"/>
    </xf>
    <xf numFmtId="0" fontId="26" fillId="4" borderId="5" xfId="0" applyFont="1" applyFill="1" applyBorder="1" applyAlignment="1">
      <alignment horizontal="left" vertical="center"/>
    </xf>
    <xf numFmtId="0" fontId="26" fillId="5" borderId="3" xfId="0" applyFont="1" applyFill="1" applyBorder="1" applyAlignment="1">
      <alignment horizontal="left" vertical="center"/>
    </xf>
    <xf numFmtId="0" fontId="26" fillId="5" borderId="4" xfId="0" applyFont="1" applyFill="1" applyBorder="1" applyAlignment="1">
      <alignment horizontal="left" vertical="center"/>
    </xf>
    <xf numFmtId="0" fontId="26" fillId="5" borderId="5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/>
    </xf>
    <xf numFmtId="0" fontId="48" fillId="0" borderId="1" xfId="0" applyFont="1" applyBorder="1" applyAlignment="1">
      <alignment horizontal="center" vertical="center" wrapText="1"/>
    </xf>
    <xf numFmtId="0" fontId="49" fillId="0" borderId="0" xfId="0" applyFont="1"/>
    <xf numFmtId="0" fontId="50" fillId="0" borderId="0" xfId="0" applyFont="1" applyAlignment="1">
      <alignment horizontal="left" vertical="center"/>
    </xf>
    <xf numFmtId="0" fontId="37" fillId="6" borderId="2" xfId="0" applyFont="1" applyFill="1" applyBorder="1" applyAlignment="1">
      <alignment horizontal="left" vertical="center" wrapText="1"/>
    </xf>
    <xf numFmtId="0" fontId="37" fillId="15" borderId="0" xfId="0" applyFont="1" applyFill="1" applyAlignment="1">
      <alignment horizontal="left" vertical="center" wrapText="1"/>
    </xf>
    <xf numFmtId="0" fontId="51" fillId="15" borderId="0" xfId="0" applyFont="1" applyFill="1" applyAlignment="1">
      <alignment horizontal="left" vertical="center"/>
    </xf>
    <xf numFmtId="0" fontId="52" fillId="11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E2EFDA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BE4B8"/>
      <color rgb="FF31FC2C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showGridLines="0" tabSelected="1" zoomScaleNormal="100" workbookViewId="0">
      <selection activeCell="A9" sqref="A9:I9"/>
    </sheetView>
  </sheetViews>
  <sheetFormatPr defaultColWidth="8.6640625" defaultRowHeight="14.4" x14ac:dyDescent="0.3"/>
  <cols>
    <col min="1" max="1" width="4.33203125" customWidth="1"/>
    <col min="2" max="2" width="2.44140625" customWidth="1"/>
    <col min="3" max="8" width="32.77734375" customWidth="1"/>
    <col min="9" max="9" width="15.21875" hidden="1" customWidth="1"/>
  </cols>
  <sheetData>
    <row r="1" spans="1:9" ht="19.5" customHeight="1" x14ac:dyDescent="0.3"/>
    <row r="2" spans="1:9" ht="15" customHeight="1" x14ac:dyDescent="0.3">
      <c r="A2" s="134" t="s">
        <v>415</v>
      </c>
      <c r="B2" s="93"/>
      <c r="C2" s="93"/>
      <c r="D2" s="93"/>
      <c r="E2" s="93"/>
      <c r="F2" s="93"/>
      <c r="G2" s="93"/>
      <c r="H2" s="93"/>
      <c r="I2" s="93"/>
    </row>
    <row r="3" spans="1:9" ht="15" customHeight="1" x14ac:dyDescent="0.3">
      <c r="A3" s="93"/>
      <c r="B3" s="93"/>
      <c r="C3" s="93"/>
      <c r="D3" s="93"/>
      <c r="E3" s="93"/>
      <c r="F3" s="93"/>
      <c r="G3" s="93"/>
      <c r="H3" s="93"/>
      <c r="I3" s="93"/>
    </row>
    <row r="4" spans="1:9" ht="15" customHeight="1" x14ac:dyDescent="0.3">
      <c r="A4" s="93"/>
      <c r="B4" s="93"/>
      <c r="C4" s="93"/>
      <c r="D4" s="93"/>
      <c r="E4" s="93"/>
      <c r="F4" s="93"/>
      <c r="G4" s="93"/>
      <c r="H4" s="93"/>
      <c r="I4" s="93"/>
    </row>
    <row r="5" spans="1:9" ht="15" customHeight="1" x14ac:dyDescent="0.3">
      <c r="A5" s="93"/>
      <c r="B5" s="93"/>
      <c r="C5" s="93"/>
      <c r="D5" s="93"/>
      <c r="E5" s="93"/>
      <c r="F5" s="93"/>
      <c r="G5" s="93"/>
      <c r="H5" s="93"/>
      <c r="I5" s="93"/>
    </row>
    <row r="6" spans="1:9" ht="15" customHeight="1" x14ac:dyDescent="0.3">
      <c r="A6" s="93"/>
      <c r="B6" s="93"/>
      <c r="C6" s="93"/>
      <c r="D6" s="93"/>
      <c r="E6" s="93"/>
      <c r="F6" s="93"/>
      <c r="G6" s="93"/>
      <c r="H6" s="93"/>
      <c r="I6" s="93"/>
    </row>
    <row r="7" spans="1:9" ht="15" customHeight="1" x14ac:dyDescent="0.3">
      <c r="A7" s="93"/>
      <c r="B7" s="93"/>
      <c r="C7" s="93"/>
      <c r="D7" s="93"/>
      <c r="E7" s="93"/>
      <c r="F7" s="93"/>
      <c r="G7" s="93"/>
      <c r="H7" s="93"/>
      <c r="I7" s="93"/>
    </row>
    <row r="8" spans="1:9" ht="15" customHeight="1" x14ac:dyDescent="0.3">
      <c r="A8" s="93"/>
      <c r="B8" s="93"/>
      <c r="C8" s="93"/>
      <c r="D8" s="93"/>
      <c r="E8" s="93"/>
      <c r="F8" s="93"/>
      <c r="G8" s="93"/>
      <c r="H8" s="93"/>
      <c r="I8" s="93"/>
    </row>
    <row r="9" spans="1:9" ht="21.75" customHeight="1" x14ac:dyDescent="0.3">
      <c r="A9" s="94" t="s">
        <v>0</v>
      </c>
      <c r="B9" s="94"/>
      <c r="C9" s="94"/>
      <c r="D9" s="94"/>
      <c r="E9" s="94"/>
      <c r="F9" s="94"/>
      <c r="G9" s="94"/>
      <c r="H9" s="94"/>
      <c r="I9" s="94"/>
    </row>
    <row r="10" spans="1:9" ht="21.6" customHeight="1" x14ac:dyDescent="0.3"/>
    <row r="11" spans="1:9" ht="21.75" customHeight="1" x14ac:dyDescent="0.3">
      <c r="B11" s="95" t="s">
        <v>1</v>
      </c>
      <c r="C11" s="95"/>
      <c r="D11" s="96" t="s">
        <v>395</v>
      </c>
      <c r="E11" s="96"/>
      <c r="F11" s="96"/>
      <c r="G11" s="96"/>
      <c r="H11" s="96"/>
    </row>
    <row r="12" spans="1:9" ht="21.75" customHeight="1" x14ac:dyDescent="0.3">
      <c r="B12" s="95" t="s">
        <v>2</v>
      </c>
      <c r="C12" s="95"/>
      <c r="D12" s="96" t="s">
        <v>396</v>
      </c>
      <c r="E12" s="96"/>
      <c r="F12" s="96"/>
      <c r="G12" s="96"/>
      <c r="H12" s="96"/>
    </row>
    <row r="13" spans="1:9" ht="21.75" customHeight="1" x14ac:dyDescent="0.3">
      <c r="B13" s="95" t="s">
        <v>3</v>
      </c>
      <c r="C13" s="95"/>
      <c r="D13" s="96" t="s">
        <v>4</v>
      </c>
      <c r="E13" s="96"/>
      <c r="F13" s="96"/>
      <c r="G13" s="96"/>
      <c r="H13" s="96"/>
    </row>
    <row r="14" spans="1:9" ht="21.75" customHeight="1" x14ac:dyDescent="0.3">
      <c r="B14" s="95" t="s">
        <v>5</v>
      </c>
      <c r="C14" s="95"/>
      <c r="D14" s="96" t="s">
        <v>6</v>
      </c>
      <c r="E14" s="96"/>
      <c r="F14" s="96"/>
      <c r="G14" s="96"/>
      <c r="H14" s="96"/>
    </row>
    <row r="15" spans="1:9" ht="21.75" customHeight="1" x14ac:dyDescent="0.3">
      <c r="B15" s="95" t="s">
        <v>7</v>
      </c>
      <c r="C15" s="95"/>
      <c r="D15" s="98" t="s">
        <v>397</v>
      </c>
      <c r="E15" s="98"/>
      <c r="F15" s="98"/>
      <c r="G15" s="98"/>
      <c r="H15" s="98"/>
    </row>
    <row r="16" spans="1:9" ht="19.8" customHeight="1" x14ac:dyDescent="0.3">
      <c r="B16" s="95" t="s">
        <v>8</v>
      </c>
      <c r="C16" s="95"/>
      <c r="D16" s="97">
        <v>46157</v>
      </c>
      <c r="E16" s="97"/>
      <c r="F16" s="97"/>
      <c r="G16" s="97"/>
      <c r="H16" s="97"/>
    </row>
    <row r="17" spans="1:8" ht="20.399999999999999" customHeight="1" x14ac:dyDescent="0.3"/>
    <row r="18" spans="1:8" ht="21.75" customHeight="1" x14ac:dyDescent="0.3">
      <c r="A18" s="94" t="s">
        <v>9</v>
      </c>
      <c r="B18" s="94"/>
      <c r="C18" s="94"/>
      <c r="D18" s="94"/>
      <c r="E18" s="94"/>
      <c r="F18" s="94"/>
      <c r="G18" s="94"/>
      <c r="H18" s="94"/>
    </row>
    <row r="19" spans="1:8" ht="19.5" customHeight="1" x14ac:dyDescent="0.3">
      <c r="B19" s="1" t="s">
        <v>10</v>
      </c>
      <c r="C19" s="100" t="s">
        <v>405</v>
      </c>
      <c r="D19" s="100"/>
      <c r="E19" s="101" t="s">
        <v>398</v>
      </c>
      <c r="F19" s="101"/>
      <c r="G19" s="101"/>
      <c r="H19" s="101"/>
    </row>
    <row r="20" spans="1:8" ht="19.5" customHeight="1" x14ac:dyDescent="0.3">
      <c r="B20" s="1" t="s">
        <v>11</v>
      </c>
      <c r="C20" s="100" t="s">
        <v>12</v>
      </c>
      <c r="D20" s="100"/>
      <c r="E20" s="101" t="s">
        <v>13</v>
      </c>
      <c r="F20" s="101"/>
      <c r="G20" s="101"/>
      <c r="H20" s="101"/>
    </row>
    <row r="21" spans="1:8" ht="19.5" customHeight="1" x14ac:dyDescent="0.3">
      <c r="B21" s="1" t="s">
        <v>14</v>
      </c>
      <c r="C21" s="100" t="s">
        <v>15</v>
      </c>
      <c r="D21" s="100"/>
      <c r="E21" s="101" t="s">
        <v>16</v>
      </c>
      <c r="F21" s="101"/>
      <c r="G21" s="101"/>
      <c r="H21" s="101"/>
    </row>
    <row r="22" spans="1:8" ht="19.5" customHeight="1" x14ac:dyDescent="0.3">
      <c r="B22" s="1" t="s">
        <v>17</v>
      </c>
      <c r="C22" s="100" t="s">
        <v>18</v>
      </c>
      <c r="D22" s="100"/>
      <c r="E22" s="101" t="s">
        <v>19</v>
      </c>
      <c r="F22" s="101"/>
      <c r="G22" s="101"/>
      <c r="H22" s="101"/>
    </row>
    <row r="23" spans="1:8" ht="19.5" customHeight="1" x14ac:dyDescent="0.3">
      <c r="B23" s="1" t="s">
        <v>20</v>
      </c>
      <c r="C23" s="100" t="s">
        <v>21</v>
      </c>
      <c r="D23" s="100"/>
      <c r="E23" s="130" t="s">
        <v>408</v>
      </c>
      <c r="F23" s="101"/>
      <c r="G23" s="101"/>
      <c r="H23" s="101"/>
    </row>
    <row r="25" spans="1:8" ht="7.5" customHeight="1" x14ac:dyDescent="0.3"/>
    <row r="26" spans="1:8" ht="21.75" customHeight="1" x14ac:dyDescent="0.3">
      <c r="A26" s="94" t="s">
        <v>22</v>
      </c>
      <c r="B26" s="94"/>
      <c r="C26" s="94"/>
      <c r="D26" s="94"/>
      <c r="E26" s="94"/>
      <c r="F26" s="94"/>
      <c r="G26" s="94"/>
      <c r="H26" s="94"/>
    </row>
    <row r="27" spans="1:8" ht="18" customHeight="1" x14ac:dyDescent="0.3">
      <c r="B27" s="1" t="s">
        <v>23</v>
      </c>
      <c r="C27" s="99" t="s">
        <v>24</v>
      </c>
      <c r="D27" s="99"/>
      <c r="E27" s="99"/>
      <c r="F27" s="99"/>
      <c r="G27" s="99"/>
      <c r="H27" s="99"/>
    </row>
    <row r="28" spans="1:8" ht="18" customHeight="1" x14ac:dyDescent="0.3">
      <c r="B28" s="2" t="s">
        <v>23</v>
      </c>
      <c r="C28" s="99" t="s">
        <v>25</v>
      </c>
      <c r="D28" s="99"/>
      <c r="E28" s="99"/>
      <c r="F28" s="99"/>
      <c r="G28" s="99"/>
      <c r="H28" s="99"/>
    </row>
    <row r="29" spans="1:8" ht="18" customHeight="1" x14ac:dyDescent="0.3">
      <c r="B29" s="37" t="s">
        <v>23</v>
      </c>
      <c r="C29" s="99" t="s">
        <v>26</v>
      </c>
      <c r="D29" s="99"/>
      <c r="E29" s="99"/>
      <c r="F29" s="99"/>
      <c r="G29" s="99"/>
      <c r="H29" s="99"/>
    </row>
    <row r="30" spans="1:8" ht="18" customHeight="1" x14ac:dyDescent="0.3"/>
    <row r="31" spans="1:8" ht="18" customHeight="1" x14ac:dyDescent="0.3"/>
    <row r="32" spans="1:8" ht="18" customHeight="1" x14ac:dyDescent="0.3"/>
    <row r="33" ht="18" customHeight="1" x14ac:dyDescent="0.3"/>
  </sheetData>
  <mergeCells count="29">
    <mergeCell ref="A18:H18"/>
    <mergeCell ref="A26:H26"/>
    <mergeCell ref="C27:H27"/>
    <mergeCell ref="C28:H28"/>
    <mergeCell ref="C29:H29"/>
    <mergeCell ref="C22:D22"/>
    <mergeCell ref="E22:H22"/>
    <mergeCell ref="C23:D23"/>
    <mergeCell ref="E23:H23"/>
    <mergeCell ref="C19:D19"/>
    <mergeCell ref="E19:H19"/>
    <mergeCell ref="C20:D20"/>
    <mergeCell ref="E20:H20"/>
    <mergeCell ref="C21:D21"/>
    <mergeCell ref="E21:H21"/>
    <mergeCell ref="B16:C16"/>
    <mergeCell ref="D16:H16"/>
    <mergeCell ref="B13:C13"/>
    <mergeCell ref="D13:H13"/>
    <mergeCell ref="B14:C14"/>
    <mergeCell ref="D14:H14"/>
    <mergeCell ref="B15:C15"/>
    <mergeCell ref="D15:H15"/>
    <mergeCell ref="A2:I8"/>
    <mergeCell ref="A9:I9"/>
    <mergeCell ref="B11:C11"/>
    <mergeCell ref="D11:H11"/>
    <mergeCell ref="B12:C12"/>
    <mergeCell ref="D12:H12"/>
  </mergeCells>
  <pageMargins left="0.75" right="0.75" top="1" bottom="1" header="0.511811023622047" footer="0.511811023622047"/>
  <pageSetup paperSize="9" orientation="portrait" horizontalDpi="300" verticalDpi="300"/>
  <ignoredErrors>
    <ignoredError sqref="B19:B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showGridLines="0" zoomScale="97" zoomScaleNormal="97" workbookViewId="0">
      <selection activeCell="A3" sqref="A3"/>
    </sheetView>
  </sheetViews>
  <sheetFormatPr defaultColWidth="8.6640625" defaultRowHeight="14.4" x14ac:dyDescent="0.3"/>
  <cols>
    <col min="1" max="1" width="38.5546875" customWidth="1"/>
    <col min="2" max="2" width="47.5546875" customWidth="1"/>
    <col min="3" max="4" width="16.109375" customWidth="1"/>
    <col min="5" max="5" width="14.5546875" customWidth="1"/>
    <col min="6" max="7" width="15.77734375" customWidth="1"/>
    <col min="8" max="8" width="26.21875" customWidth="1"/>
  </cols>
  <sheetData>
    <row r="1" spans="1:8" ht="27.75" customHeight="1" x14ac:dyDescent="0.3">
      <c r="A1" s="86" t="s">
        <v>317</v>
      </c>
      <c r="B1" s="86"/>
      <c r="C1" s="86"/>
      <c r="D1" s="86"/>
      <c r="E1" s="86"/>
      <c r="F1" s="86"/>
      <c r="G1" s="86"/>
      <c r="H1" s="86"/>
    </row>
    <row r="2" spans="1:8" ht="27.75" customHeight="1" x14ac:dyDescent="0.3">
      <c r="A2" s="132" t="s">
        <v>412</v>
      </c>
      <c r="B2" s="102"/>
      <c r="C2" s="102"/>
      <c r="D2" s="102"/>
      <c r="E2" s="102"/>
      <c r="F2" s="102"/>
      <c r="G2" s="102"/>
      <c r="H2" s="102"/>
    </row>
    <row r="3" spans="1:8" ht="15" customHeight="1" x14ac:dyDescent="0.3">
      <c r="A3" s="74" t="s">
        <v>27</v>
      </c>
      <c r="B3" s="75" t="s">
        <v>28</v>
      </c>
      <c r="C3" s="75" t="s">
        <v>29</v>
      </c>
      <c r="D3" s="75" t="s">
        <v>30</v>
      </c>
      <c r="E3" s="75" t="s">
        <v>31</v>
      </c>
      <c r="F3" s="75" t="s">
        <v>32</v>
      </c>
      <c r="G3" s="75" t="s">
        <v>33</v>
      </c>
      <c r="H3" s="75" t="s">
        <v>34</v>
      </c>
    </row>
    <row r="4" spans="1:8" ht="15" customHeight="1" x14ac:dyDescent="0.3">
      <c r="A4" s="87" t="s">
        <v>316</v>
      </c>
      <c r="B4" s="87"/>
      <c r="C4" s="87"/>
      <c r="D4" s="87"/>
      <c r="E4" s="87"/>
      <c r="F4" s="87"/>
      <c r="G4" s="87"/>
      <c r="H4" s="87"/>
    </row>
    <row r="5" spans="1:8" ht="18" customHeight="1" x14ac:dyDescent="0.3">
      <c r="A5" s="47" t="s">
        <v>35</v>
      </c>
      <c r="B5" s="48" t="s">
        <v>36</v>
      </c>
      <c r="C5" s="49">
        <f>'Raw datasheet'!C5</f>
        <v>1622</v>
      </c>
      <c r="D5" s="49">
        <f>'Raw datasheet'!D5</f>
        <v>2690</v>
      </c>
      <c r="E5" s="49">
        <f>'Raw datasheet'!E5</f>
        <v>2404</v>
      </c>
      <c r="F5" s="49">
        <f>'Raw datasheet'!F5</f>
        <v>2902</v>
      </c>
      <c r="G5" s="49">
        <f>'Raw datasheet'!G5</f>
        <v>3300</v>
      </c>
      <c r="H5" s="50"/>
    </row>
    <row r="6" spans="1:8" ht="18" customHeight="1" x14ac:dyDescent="0.3">
      <c r="A6" s="47" t="s">
        <v>338</v>
      </c>
      <c r="B6" s="51" t="s">
        <v>341</v>
      </c>
      <c r="C6" s="49">
        <f>'Raw datasheet'!C6</f>
        <v>1365</v>
      </c>
      <c r="D6" s="49">
        <f>'Raw datasheet'!D6</f>
        <v>2039</v>
      </c>
      <c r="E6" s="49">
        <f>'Raw datasheet'!E6</f>
        <v>2107</v>
      </c>
      <c r="F6" s="49">
        <f>'Raw datasheet'!F6</f>
        <v>2525</v>
      </c>
      <c r="G6" s="49">
        <f>'Raw datasheet'!G6</f>
        <v>2829</v>
      </c>
      <c r="H6" s="50"/>
    </row>
    <row r="7" spans="1:8" ht="18" customHeight="1" x14ac:dyDescent="0.3">
      <c r="A7" s="52" t="s">
        <v>38</v>
      </c>
      <c r="B7" s="48" t="s">
        <v>39</v>
      </c>
      <c r="C7" s="53">
        <f>C5-C6</f>
        <v>257</v>
      </c>
      <c r="D7" s="53">
        <f t="shared" ref="D7:G7" si="0">D5-D6</f>
        <v>651</v>
      </c>
      <c r="E7" s="53">
        <f t="shared" si="0"/>
        <v>297</v>
      </c>
      <c r="F7" s="53">
        <f t="shared" si="0"/>
        <v>377</v>
      </c>
      <c r="G7" s="53">
        <f t="shared" si="0"/>
        <v>471</v>
      </c>
      <c r="H7" s="50"/>
    </row>
    <row r="8" spans="1:8" ht="18" customHeight="1" x14ac:dyDescent="0.3">
      <c r="A8" s="47" t="s">
        <v>40</v>
      </c>
      <c r="B8" s="48" t="s">
        <v>41</v>
      </c>
      <c r="C8" s="49">
        <f>'Raw datasheet'!C11</f>
        <v>91</v>
      </c>
      <c r="D8" s="49">
        <f>'Raw datasheet'!D11</f>
        <v>87</v>
      </c>
      <c r="E8" s="49">
        <f>'Raw datasheet'!E11</f>
        <v>87</v>
      </c>
      <c r="F8" s="49">
        <f>'Raw datasheet'!F11</f>
        <v>118</v>
      </c>
      <c r="G8" s="49">
        <f>'Raw datasheet'!G11</f>
        <v>148</v>
      </c>
      <c r="H8" s="50"/>
    </row>
    <row r="9" spans="1:8" ht="18" customHeight="1" x14ac:dyDescent="0.3">
      <c r="A9" s="52" t="s">
        <v>42</v>
      </c>
      <c r="B9" s="48" t="s">
        <v>43</v>
      </c>
      <c r="C9" s="53">
        <f>C7-C8</f>
        <v>166</v>
      </c>
      <c r="D9" s="53">
        <f t="shared" ref="D9:G9" si="1">D7-D8</f>
        <v>564</v>
      </c>
      <c r="E9" s="53">
        <f t="shared" si="1"/>
        <v>210</v>
      </c>
      <c r="F9" s="53">
        <f t="shared" si="1"/>
        <v>259</v>
      </c>
      <c r="G9" s="53">
        <f t="shared" si="1"/>
        <v>323</v>
      </c>
      <c r="H9" s="50"/>
    </row>
    <row r="10" spans="1:8" ht="18" customHeight="1" x14ac:dyDescent="0.3">
      <c r="A10" s="54" t="s">
        <v>37</v>
      </c>
      <c r="B10" s="51" t="s">
        <v>340</v>
      </c>
      <c r="C10" s="49">
        <f>'Raw datasheet'!C9</f>
        <v>2</v>
      </c>
      <c r="D10" s="49">
        <f>'Raw datasheet'!D9</f>
        <v>-3</v>
      </c>
      <c r="E10" s="49">
        <f>'Raw datasheet'!E9</f>
        <v>3</v>
      </c>
      <c r="F10" s="49">
        <f>'Raw datasheet'!F9</f>
        <v>2</v>
      </c>
      <c r="G10" s="49">
        <f>'Raw datasheet'!G9</f>
        <v>4</v>
      </c>
      <c r="H10" s="50"/>
    </row>
    <row r="11" spans="1:8" ht="18" customHeight="1" x14ac:dyDescent="0.3">
      <c r="A11" s="47" t="s">
        <v>44</v>
      </c>
      <c r="B11" s="48" t="s">
        <v>45</v>
      </c>
      <c r="C11" s="49">
        <f>'Raw datasheet'!C10</f>
        <v>62</v>
      </c>
      <c r="D11" s="49">
        <f>'Raw datasheet'!D10</f>
        <v>55</v>
      </c>
      <c r="E11" s="49">
        <f>'Raw datasheet'!E10</f>
        <v>38</v>
      </c>
      <c r="F11" s="49">
        <f>'Raw datasheet'!F10</f>
        <v>83</v>
      </c>
      <c r="G11" s="49">
        <f>'Raw datasheet'!G10</f>
        <v>90</v>
      </c>
      <c r="H11" s="50"/>
    </row>
    <row r="12" spans="1:8" ht="18" customHeight="1" x14ac:dyDescent="0.3">
      <c r="A12" s="52" t="s">
        <v>46</v>
      </c>
      <c r="B12" s="48" t="s">
        <v>47</v>
      </c>
      <c r="C12" s="53">
        <f>C9+C10-C11</f>
        <v>106</v>
      </c>
      <c r="D12" s="53">
        <f t="shared" ref="D12:G12" si="2">D9+D10-D11</f>
        <v>506</v>
      </c>
      <c r="E12" s="53">
        <f t="shared" si="2"/>
        <v>175</v>
      </c>
      <c r="F12" s="53">
        <f t="shared" si="2"/>
        <v>178</v>
      </c>
      <c r="G12" s="53">
        <f t="shared" si="2"/>
        <v>237</v>
      </c>
      <c r="H12" s="50"/>
    </row>
    <row r="13" spans="1:8" ht="18" customHeight="1" x14ac:dyDescent="0.3">
      <c r="A13" s="47" t="s">
        <v>48</v>
      </c>
      <c r="B13" s="48" t="s">
        <v>49</v>
      </c>
      <c r="C13" s="49">
        <f>'Raw datasheet'!C13*'Raw datasheet'!C12</f>
        <v>37.449999999999996</v>
      </c>
      <c r="D13" s="49">
        <f>'Raw datasheet'!D13*'Raw datasheet'!D12</f>
        <v>182.16</v>
      </c>
      <c r="E13" s="49">
        <f>'Raw datasheet'!E13*'Raw datasheet'!E12</f>
        <v>10.559999999999999</v>
      </c>
      <c r="F13" s="49">
        <f>'Raw datasheet'!F13*'Raw datasheet'!F12</f>
        <v>46.28</v>
      </c>
      <c r="G13" s="49">
        <f>'Raw datasheet'!G13*'Raw datasheet'!G12</f>
        <v>61.620000000000005</v>
      </c>
      <c r="H13" s="50"/>
    </row>
    <row r="14" spans="1:8" ht="18" customHeight="1" x14ac:dyDescent="0.3">
      <c r="A14" s="52" t="s">
        <v>50</v>
      </c>
      <c r="B14" s="48" t="s">
        <v>51</v>
      </c>
      <c r="C14" s="53">
        <f>C12-C13</f>
        <v>68.550000000000011</v>
      </c>
      <c r="D14" s="53">
        <f t="shared" ref="D14:G14" si="3">D12-D13</f>
        <v>323.84000000000003</v>
      </c>
      <c r="E14" s="53">
        <f t="shared" si="3"/>
        <v>164.44</v>
      </c>
      <c r="F14" s="53">
        <f t="shared" si="3"/>
        <v>131.72</v>
      </c>
      <c r="G14" s="53">
        <f t="shared" si="3"/>
        <v>175.38</v>
      </c>
      <c r="H14" s="50"/>
    </row>
    <row r="15" spans="1:8" ht="15" customHeight="1" x14ac:dyDescent="0.3">
      <c r="A15" s="50"/>
      <c r="B15" s="50"/>
      <c r="C15" s="50"/>
      <c r="D15" s="50"/>
      <c r="E15" s="50"/>
      <c r="F15" s="50"/>
      <c r="G15" s="50"/>
      <c r="H15" s="50"/>
    </row>
    <row r="16" spans="1:8" ht="15" customHeight="1" x14ac:dyDescent="0.3">
      <c r="A16" s="103" t="s">
        <v>409</v>
      </c>
      <c r="B16" s="103"/>
      <c r="C16" s="103"/>
      <c r="D16" s="103"/>
      <c r="E16" s="103"/>
      <c r="F16" s="103"/>
      <c r="G16" s="103"/>
      <c r="H16" s="103"/>
    </row>
    <row r="17" spans="1:8" ht="18" customHeight="1" x14ac:dyDescent="0.3">
      <c r="A17" s="55" t="s">
        <v>52</v>
      </c>
      <c r="B17" s="48" t="s">
        <v>52</v>
      </c>
      <c r="C17" s="49">
        <f>'Raw datasheet'!C18</f>
        <v>56</v>
      </c>
      <c r="D17" s="49">
        <f>'Raw datasheet'!D18</f>
        <v>56</v>
      </c>
      <c r="E17" s="49">
        <f>'Raw datasheet'!E18</f>
        <v>56</v>
      </c>
      <c r="F17" s="49">
        <f>'Raw datasheet'!F18</f>
        <v>56</v>
      </c>
      <c r="G17" s="49">
        <f>'Raw datasheet'!G18</f>
        <v>56</v>
      </c>
      <c r="H17" s="50"/>
    </row>
    <row r="18" spans="1:8" ht="18" customHeight="1" x14ac:dyDescent="0.3">
      <c r="A18" s="55" t="s">
        <v>53</v>
      </c>
      <c r="B18" s="48" t="s">
        <v>54</v>
      </c>
      <c r="C18" s="49">
        <f>'Raw datasheet'!C19</f>
        <v>507</v>
      </c>
      <c r="D18" s="49">
        <f>'Raw datasheet'!D19</f>
        <v>820</v>
      </c>
      <c r="E18" s="49">
        <f>'Raw datasheet'!E19</f>
        <v>973</v>
      </c>
      <c r="F18" s="49">
        <f>'Raw datasheet'!F19</f>
        <v>1090</v>
      </c>
      <c r="G18" s="49">
        <f>'Raw datasheet'!G19</f>
        <v>1255</v>
      </c>
      <c r="H18" s="50"/>
    </row>
    <row r="19" spans="1:8" ht="18" customHeight="1" x14ac:dyDescent="0.3">
      <c r="A19" s="56" t="s">
        <v>55</v>
      </c>
      <c r="B19" s="48" t="s">
        <v>56</v>
      </c>
      <c r="C19" s="53">
        <f>C17+C18</f>
        <v>563</v>
      </c>
      <c r="D19" s="53">
        <f t="shared" ref="D19:G19" si="4">D17+D18</f>
        <v>876</v>
      </c>
      <c r="E19" s="53">
        <f t="shared" si="4"/>
        <v>1029</v>
      </c>
      <c r="F19" s="53">
        <f t="shared" si="4"/>
        <v>1146</v>
      </c>
      <c r="G19" s="53">
        <f t="shared" si="4"/>
        <v>1311</v>
      </c>
      <c r="H19" s="50"/>
    </row>
    <row r="20" spans="1:8" ht="18" customHeight="1" x14ac:dyDescent="0.3">
      <c r="A20" s="55" t="s">
        <v>57</v>
      </c>
      <c r="B20" s="48" t="s">
        <v>58</v>
      </c>
      <c r="C20" s="49">
        <f>'Raw datasheet'!C21</f>
        <v>564</v>
      </c>
      <c r="D20" s="49">
        <f>'Raw datasheet'!D21</f>
        <v>407</v>
      </c>
      <c r="E20" s="49">
        <f>'Raw datasheet'!E21</f>
        <v>561</v>
      </c>
      <c r="F20" s="49">
        <f>'Raw datasheet'!F21</f>
        <v>811</v>
      </c>
      <c r="G20" s="49">
        <f>'Raw datasheet'!G21</f>
        <v>637</v>
      </c>
      <c r="H20" s="50"/>
    </row>
    <row r="21" spans="1:8" ht="18" customHeight="1" x14ac:dyDescent="0.3">
      <c r="A21" s="55" t="s">
        <v>59</v>
      </c>
      <c r="B21" s="48" t="s">
        <v>60</v>
      </c>
      <c r="C21" s="49">
        <f>'Raw datasheet'!C22</f>
        <v>283</v>
      </c>
      <c r="D21" s="49">
        <f>'Raw datasheet'!D22</f>
        <v>281</v>
      </c>
      <c r="E21" s="49">
        <f>'Raw datasheet'!E22</f>
        <v>419</v>
      </c>
      <c r="F21" s="49">
        <f>'Raw datasheet'!F22</f>
        <v>528</v>
      </c>
      <c r="G21" s="49">
        <f>'Raw datasheet'!G22</f>
        <v>528</v>
      </c>
      <c r="H21" s="50"/>
    </row>
    <row r="22" spans="1:8" ht="18" customHeight="1" x14ac:dyDescent="0.3">
      <c r="A22" s="56" t="s">
        <v>61</v>
      </c>
      <c r="B22" s="48" t="s">
        <v>62</v>
      </c>
      <c r="C22" s="53">
        <f>C20+C21+'Raw datasheet'!C24</f>
        <v>961</v>
      </c>
      <c r="D22" s="53">
        <f>D20+D21+'Raw datasheet'!D24</f>
        <v>688</v>
      </c>
      <c r="E22" s="53">
        <f>E20+E21+'Raw datasheet'!E24</f>
        <v>980</v>
      </c>
      <c r="F22" s="53">
        <f>F20+F21+'Raw datasheet'!F24</f>
        <v>1339</v>
      </c>
      <c r="G22" s="53">
        <f>G20+G21+'Raw datasheet'!G24</f>
        <v>1165</v>
      </c>
      <c r="H22" s="50"/>
    </row>
    <row r="23" spans="1:8" ht="18" customHeight="1" x14ac:dyDescent="0.3">
      <c r="A23" s="55" t="s">
        <v>63</v>
      </c>
      <c r="B23" s="48" t="s">
        <v>64</v>
      </c>
      <c r="C23" s="49">
        <f>'Raw datasheet'!C26+'Raw datasheet'!C27+'Raw datasheet'!C28</f>
        <v>151</v>
      </c>
      <c r="D23" s="49">
        <f>'Raw datasheet'!D26+'Raw datasheet'!D27+'Raw datasheet'!D28</f>
        <v>260</v>
      </c>
      <c r="E23" s="49">
        <f>'Raw datasheet'!E26+'Raw datasheet'!E27+'Raw datasheet'!E28</f>
        <v>209</v>
      </c>
      <c r="F23" s="49">
        <f>'Raw datasheet'!F26+'Raw datasheet'!F27+'Raw datasheet'!F28</f>
        <v>231</v>
      </c>
      <c r="G23" s="49">
        <f>'Raw datasheet'!G26+'Raw datasheet'!G27+'Raw datasheet'!G28</f>
        <v>256</v>
      </c>
      <c r="H23" s="50"/>
    </row>
    <row r="24" spans="1:8" ht="18" customHeight="1" x14ac:dyDescent="0.3">
      <c r="A24" s="56" t="s">
        <v>65</v>
      </c>
      <c r="B24" s="48" t="s">
        <v>66</v>
      </c>
      <c r="C24" s="53">
        <f>C19+C22+C23</f>
        <v>1675</v>
      </c>
      <c r="D24" s="53">
        <f t="shared" ref="D24:G24" si="5">D19+D22+D23</f>
        <v>1824</v>
      </c>
      <c r="E24" s="53">
        <f t="shared" si="5"/>
        <v>2218</v>
      </c>
      <c r="F24" s="53">
        <f t="shared" si="5"/>
        <v>2716</v>
      </c>
      <c r="G24" s="53">
        <f t="shared" si="5"/>
        <v>2732</v>
      </c>
      <c r="H24" s="50"/>
    </row>
    <row r="25" spans="1:8" ht="18" customHeight="1" x14ac:dyDescent="0.3">
      <c r="A25" s="55" t="s">
        <v>67</v>
      </c>
      <c r="B25" s="48" t="s">
        <v>68</v>
      </c>
      <c r="C25" s="49">
        <f>'Raw datasheet'!C30</f>
        <v>1060</v>
      </c>
      <c r="D25" s="49">
        <f>'Raw datasheet'!D30</f>
        <v>1012</v>
      </c>
      <c r="E25" s="49">
        <f>'Raw datasheet'!E30</f>
        <v>1011</v>
      </c>
      <c r="F25" s="49">
        <f>'Raw datasheet'!F30</f>
        <v>1709</v>
      </c>
      <c r="G25" s="49">
        <f>'Raw datasheet'!G30</f>
        <v>1577</v>
      </c>
      <c r="H25" s="50"/>
    </row>
    <row r="26" spans="1:8" ht="18" customHeight="1" x14ac:dyDescent="0.3">
      <c r="A26" s="55" t="s">
        <v>69</v>
      </c>
      <c r="B26" s="48" t="s">
        <v>70</v>
      </c>
      <c r="C26" s="49">
        <f>'Raw datasheet'!C30+'Raw datasheet'!C41+'Raw datasheet'!C42+'Raw datasheet'!C37</f>
        <v>1062</v>
      </c>
      <c r="D26" s="49">
        <f>'Raw datasheet'!D30+'Raw datasheet'!D41+'Raw datasheet'!D42+'Raw datasheet'!D37</f>
        <v>1012</v>
      </c>
      <c r="E26" s="49">
        <f>'Raw datasheet'!E30+'Raw datasheet'!E41+'Raw datasheet'!E42+'Raw datasheet'!E37</f>
        <v>1351</v>
      </c>
      <c r="F26" s="49">
        <f>'Raw datasheet'!F30+'Raw datasheet'!F41+'Raw datasheet'!F42+'Raw datasheet'!F37</f>
        <v>1711</v>
      </c>
      <c r="G26" s="49">
        <f>'Raw datasheet'!G30+'Raw datasheet'!G41+'Raw datasheet'!G42+'Raw datasheet'!G37</f>
        <v>1584</v>
      </c>
      <c r="H26" s="50"/>
    </row>
    <row r="27" spans="1:8" ht="18" customHeight="1" x14ac:dyDescent="0.3">
      <c r="A27" s="55" t="s">
        <v>71</v>
      </c>
      <c r="B27" s="48" t="s">
        <v>72</v>
      </c>
      <c r="C27" s="49">
        <f>'Raw datasheet'!C46</f>
        <v>1</v>
      </c>
      <c r="D27" s="49">
        <f>'Raw datasheet'!D46</f>
        <v>1</v>
      </c>
      <c r="E27" s="49">
        <f>'Raw datasheet'!E46</f>
        <v>0</v>
      </c>
      <c r="F27" s="49">
        <f>'Raw datasheet'!F46</f>
        <v>0</v>
      </c>
      <c r="G27" s="49">
        <f>'Raw datasheet'!G46</f>
        <v>10</v>
      </c>
      <c r="H27" s="50"/>
    </row>
    <row r="28" spans="1:8" ht="18" customHeight="1" x14ac:dyDescent="0.3">
      <c r="A28" s="55" t="s">
        <v>73</v>
      </c>
      <c r="B28" s="48" t="s">
        <v>74</v>
      </c>
      <c r="C28" s="49">
        <f>'Raw datasheet'!C45</f>
        <v>166</v>
      </c>
      <c r="D28" s="49">
        <f>'Raw datasheet'!D45</f>
        <v>241</v>
      </c>
      <c r="E28" s="49">
        <f>'Raw datasheet'!E45</f>
        <v>223</v>
      </c>
      <c r="F28" s="49">
        <f>'Raw datasheet'!F45</f>
        <v>321</v>
      </c>
      <c r="G28" s="49">
        <f>'Raw datasheet'!G45</f>
        <v>430</v>
      </c>
      <c r="H28" s="50"/>
    </row>
    <row r="29" spans="1:8" ht="18" customHeight="1" x14ac:dyDescent="0.3">
      <c r="A29" s="55" t="s">
        <v>75</v>
      </c>
      <c r="B29" s="48" t="s">
        <v>76</v>
      </c>
      <c r="C29" s="49">
        <f>'Raw datasheet'!C44</f>
        <v>355</v>
      </c>
      <c r="D29" s="49">
        <f>'Raw datasheet'!D44</f>
        <v>406</v>
      </c>
      <c r="E29" s="49">
        <f>'Raw datasheet'!E44</f>
        <v>492</v>
      </c>
      <c r="F29" s="49">
        <f>'Raw datasheet'!F44</f>
        <v>564</v>
      </c>
      <c r="G29" s="49">
        <f>'Raw datasheet'!G44</f>
        <v>607</v>
      </c>
      <c r="H29" s="50"/>
    </row>
    <row r="30" spans="1:8" ht="18" customHeight="1" x14ac:dyDescent="0.3">
      <c r="A30" s="55" t="s">
        <v>77</v>
      </c>
      <c r="B30" s="48" t="s">
        <v>78</v>
      </c>
      <c r="C30" s="49">
        <f>'Raw datasheet'!C48+'Raw datasheet'!C47</f>
        <v>93</v>
      </c>
      <c r="D30" s="49">
        <f>'Raw datasheet'!D48+'Raw datasheet'!D47</f>
        <v>164</v>
      </c>
      <c r="E30" s="49">
        <f>'Raw datasheet'!E48+'Raw datasheet'!E47</f>
        <v>151</v>
      </c>
      <c r="F30" s="49">
        <f>'Raw datasheet'!F48+'Raw datasheet'!F47</f>
        <v>120</v>
      </c>
      <c r="G30" s="49">
        <f>'Raw datasheet'!G48+'Raw datasheet'!G47</f>
        <v>101</v>
      </c>
      <c r="H30" s="50"/>
    </row>
    <row r="31" spans="1:8" ht="18" customHeight="1" x14ac:dyDescent="0.3">
      <c r="A31" s="56" t="s">
        <v>79</v>
      </c>
      <c r="B31" s="48" t="s">
        <v>80</v>
      </c>
      <c r="C31" s="53">
        <f>SUM(C27:C30)</f>
        <v>615</v>
      </c>
      <c r="D31" s="53">
        <f t="shared" ref="D31:G31" si="6">SUM(D27:D30)</f>
        <v>812</v>
      </c>
      <c r="E31" s="53">
        <f t="shared" si="6"/>
        <v>866</v>
      </c>
      <c r="F31" s="53">
        <f t="shared" si="6"/>
        <v>1005</v>
      </c>
      <c r="G31" s="53">
        <f t="shared" si="6"/>
        <v>1148</v>
      </c>
      <c r="H31" s="50"/>
    </row>
    <row r="32" spans="1:8" ht="18" customHeight="1" x14ac:dyDescent="0.3">
      <c r="A32" s="56" t="s">
        <v>81</v>
      </c>
      <c r="B32" s="48" t="s">
        <v>82</v>
      </c>
      <c r="C32" s="53">
        <f>C26+C31</f>
        <v>1677</v>
      </c>
      <c r="D32" s="53">
        <f t="shared" ref="D32:G32" si="7">D26+D31</f>
        <v>1824</v>
      </c>
      <c r="E32" s="53">
        <f t="shared" si="7"/>
        <v>2217</v>
      </c>
      <c r="F32" s="53">
        <f t="shared" si="7"/>
        <v>2716</v>
      </c>
      <c r="G32" s="53">
        <f t="shared" si="7"/>
        <v>2732</v>
      </c>
      <c r="H32" s="50"/>
    </row>
    <row r="33" spans="1:8" ht="18" customHeight="1" x14ac:dyDescent="0.3">
      <c r="A33" s="56" t="s">
        <v>83</v>
      </c>
      <c r="B33" s="48" t="s">
        <v>84</v>
      </c>
      <c r="C33" s="53">
        <f>C31-C23</f>
        <v>464</v>
      </c>
      <c r="D33" s="53">
        <f t="shared" ref="D33:G33" si="8">D31-D23</f>
        <v>552</v>
      </c>
      <c r="E33" s="53">
        <f t="shared" si="8"/>
        <v>657</v>
      </c>
      <c r="F33" s="53">
        <f t="shared" si="8"/>
        <v>774</v>
      </c>
      <c r="G33" s="53">
        <f t="shared" si="8"/>
        <v>892</v>
      </c>
      <c r="H33" s="50"/>
    </row>
    <row r="34" spans="1:8" ht="18" customHeight="1" x14ac:dyDescent="0.3">
      <c r="A34" s="55" t="s">
        <v>85</v>
      </c>
      <c r="B34" s="48" t="s">
        <v>86</v>
      </c>
      <c r="C34" s="49">
        <f>'Raw datasheet'!C19</f>
        <v>507</v>
      </c>
      <c r="D34" s="49">
        <f>'Raw datasheet'!D19</f>
        <v>820</v>
      </c>
      <c r="E34" s="49">
        <f>'Raw datasheet'!E19</f>
        <v>973</v>
      </c>
      <c r="F34" s="49">
        <f>'Raw datasheet'!F19</f>
        <v>1090</v>
      </c>
      <c r="G34" s="49">
        <f>'Raw datasheet'!G19</f>
        <v>1255</v>
      </c>
      <c r="H34" s="50"/>
    </row>
    <row r="35" spans="1:8" ht="18" customHeight="1" x14ac:dyDescent="0.3">
      <c r="A35" s="55" t="s">
        <v>87</v>
      </c>
      <c r="B35" s="48" t="s">
        <v>88</v>
      </c>
      <c r="C35" s="57">
        <v>427</v>
      </c>
      <c r="D35" s="57">
        <v>1582</v>
      </c>
      <c r="E35" s="57">
        <v>1232</v>
      </c>
      <c r="F35" s="57">
        <v>1964</v>
      </c>
      <c r="G35" s="57">
        <v>2692</v>
      </c>
      <c r="H35" s="50"/>
    </row>
    <row r="36" spans="1:8" ht="15" customHeight="1" x14ac:dyDescent="0.3">
      <c r="A36" s="50"/>
      <c r="B36" s="50"/>
      <c r="C36" s="50"/>
      <c r="D36" s="50"/>
      <c r="E36" s="50"/>
      <c r="F36" s="50"/>
      <c r="G36" s="50"/>
      <c r="H36" s="50"/>
    </row>
    <row r="37" spans="1:8" ht="15" customHeight="1" x14ac:dyDescent="0.3">
      <c r="A37" s="103" t="s">
        <v>410</v>
      </c>
      <c r="B37" s="103"/>
      <c r="C37" s="103"/>
      <c r="D37" s="103"/>
      <c r="E37" s="103"/>
      <c r="F37" s="103"/>
      <c r="G37" s="103"/>
      <c r="H37" s="103"/>
    </row>
    <row r="38" spans="1:8" ht="18" customHeight="1" x14ac:dyDescent="0.3">
      <c r="A38" s="55" t="s">
        <v>89</v>
      </c>
      <c r="B38" s="48" t="s">
        <v>90</v>
      </c>
      <c r="C38" s="49">
        <f>'Raw datasheet'!C51</f>
        <v>155</v>
      </c>
      <c r="D38" s="49">
        <f>'Raw datasheet'!D51</f>
        <v>431</v>
      </c>
      <c r="E38" s="49">
        <f>'Raw datasheet'!E51</f>
        <v>194</v>
      </c>
      <c r="F38" s="49">
        <f>'Raw datasheet'!F51</f>
        <v>163</v>
      </c>
      <c r="G38" s="49">
        <f>'Raw datasheet'!G51</f>
        <v>307</v>
      </c>
      <c r="H38" s="50"/>
    </row>
    <row r="39" spans="1:8" ht="18" customHeight="1" x14ac:dyDescent="0.3">
      <c r="A39" s="55" t="s">
        <v>91</v>
      </c>
      <c r="B39" s="48" t="s">
        <v>92</v>
      </c>
      <c r="C39" s="49">
        <f>'Raw datasheet'!C52</f>
        <v>-11</v>
      </c>
      <c r="D39" s="49">
        <f>'Raw datasheet'!D52</f>
        <v>-86</v>
      </c>
      <c r="E39" s="49">
        <f>'Raw datasheet'!E52</f>
        <v>-433</v>
      </c>
      <c r="F39" s="49">
        <f>'Raw datasheet'!F52</f>
        <v>-426</v>
      </c>
      <c r="G39" s="49">
        <f>'Raw datasheet'!G52</f>
        <v>-22</v>
      </c>
      <c r="H39" s="50"/>
    </row>
    <row r="40" spans="1:8" ht="18" customHeight="1" x14ac:dyDescent="0.3">
      <c r="A40" s="55" t="s">
        <v>93</v>
      </c>
      <c r="B40" s="48" t="s">
        <v>94</v>
      </c>
      <c r="C40" s="49">
        <f>'Raw datasheet'!C53</f>
        <v>-144</v>
      </c>
      <c r="D40" s="49">
        <f>'Raw datasheet'!D53</f>
        <v>-345</v>
      </c>
      <c r="E40" s="49">
        <f>'Raw datasheet'!E53</f>
        <v>239</v>
      </c>
      <c r="F40" s="49">
        <f>'Raw datasheet'!F53</f>
        <v>262</v>
      </c>
      <c r="G40" s="49">
        <f>'Raw datasheet'!G53</f>
        <v>-279</v>
      </c>
      <c r="H40" s="50"/>
    </row>
    <row r="41" spans="1:8" ht="18" customHeight="1" x14ac:dyDescent="0.3">
      <c r="A41" s="56" t="s">
        <v>95</v>
      </c>
      <c r="B41" s="48" t="s">
        <v>96</v>
      </c>
      <c r="C41" s="53">
        <f>SUM('1_Financial_Data'!C38:C40)</f>
        <v>0</v>
      </c>
      <c r="D41" s="53">
        <f>SUM('1_Financial_Data'!D38:D40)</f>
        <v>0</v>
      </c>
      <c r="E41" s="53">
        <f>SUM('1_Financial_Data'!E38:E40)</f>
        <v>0</v>
      </c>
      <c r="F41" s="53">
        <f>SUM('1_Financial_Data'!F38:F40)</f>
        <v>-1</v>
      </c>
      <c r="G41" s="53">
        <f>SUM('1_Financial_Data'!G38:G40)</f>
        <v>6</v>
      </c>
      <c r="H41" s="50"/>
    </row>
    <row r="42" spans="1:8" ht="18" customHeight="1" x14ac:dyDescent="0.3">
      <c r="A42" s="55" t="s">
        <v>97</v>
      </c>
      <c r="B42" s="48" t="s">
        <v>98</v>
      </c>
      <c r="C42" s="57">
        <v>80.95</v>
      </c>
      <c r="D42" s="57">
        <v>273.08999999999997</v>
      </c>
      <c r="E42" s="57">
        <v>91.9</v>
      </c>
      <c r="F42" s="57">
        <v>106.66</v>
      </c>
      <c r="G42" s="57">
        <f t="shared" ref="G42" si="9">F22-G22</f>
        <v>174</v>
      </c>
      <c r="H42" s="50"/>
    </row>
    <row r="43" spans="1:8" x14ac:dyDescent="0.3">
      <c r="A43" s="55" t="s">
        <v>367</v>
      </c>
      <c r="B43" s="48" t="s">
        <v>368</v>
      </c>
      <c r="C43" s="57">
        <v>61.6</v>
      </c>
      <c r="D43" s="57">
        <v>55.34</v>
      </c>
      <c r="E43" s="57">
        <v>37.68</v>
      </c>
      <c r="F43" s="57">
        <v>83.3</v>
      </c>
      <c r="G43" s="57">
        <v>90.38</v>
      </c>
      <c r="H43" s="50"/>
    </row>
  </sheetData>
  <mergeCells count="5">
    <mergeCell ref="A1:H1"/>
    <mergeCell ref="A2:H2"/>
    <mergeCell ref="A4:H4"/>
    <mergeCell ref="A16:H16"/>
    <mergeCell ref="A37:H37"/>
  </mergeCells>
  <pageMargins left="0.75" right="0.75" top="1" bottom="1" header="0.511811023622047" footer="0.511811023622047"/>
  <pageSetup paperSize="9" orientation="portrait" horizontalDpi="300" verticalDpi="300"/>
  <ignoredErrors>
    <ignoredError sqref="C8:G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showGridLines="0" zoomScale="85" zoomScaleNormal="85" workbookViewId="0">
      <selection activeCell="A2" sqref="A2"/>
    </sheetView>
  </sheetViews>
  <sheetFormatPr defaultColWidth="8.6640625" defaultRowHeight="14.4" x14ac:dyDescent="0.3"/>
  <cols>
    <col min="1" max="1" width="30.44140625" customWidth="1"/>
    <col min="2" max="2" width="39.33203125" customWidth="1"/>
    <col min="3" max="3" width="12.44140625" customWidth="1"/>
    <col min="4" max="4" width="12.33203125" customWidth="1"/>
    <col min="5" max="5" width="12.109375" customWidth="1"/>
    <col min="6" max="6" width="13.109375" customWidth="1"/>
    <col min="7" max="7" width="12.33203125" customWidth="1"/>
    <col min="8" max="8" width="14" customWidth="1"/>
    <col min="9" max="9" width="54.33203125" customWidth="1"/>
  </cols>
  <sheetData>
    <row r="1" spans="1:9" ht="27.75" customHeight="1" x14ac:dyDescent="0.3">
      <c r="A1" s="86" t="s">
        <v>411</v>
      </c>
      <c r="B1" s="86"/>
      <c r="C1" s="86"/>
      <c r="D1" s="86"/>
      <c r="E1" s="86"/>
      <c r="F1" s="86"/>
      <c r="G1" s="86"/>
      <c r="H1" s="86"/>
      <c r="I1" s="86"/>
    </row>
    <row r="2" spans="1:9" ht="17.399999999999999" customHeight="1" x14ac:dyDescent="0.3">
      <c r="A2" s="76" t="s">
        <v>99</v>
      </c>
      <c r="B2" s="76" t="s">
        <v>100</v>
      </c>
      <c r="C2" s="75" t="s">
        <v>29</v>
      </c>
      <c r="D2" s="75" t="s">
        <v>30</v>
      </c>
      <c r="E2" s="75" t="s">
        <v>31</v>
      </c>
      <c r="F2" s="75" t="s">
        <v>32</v>
      </c>
      <c r="G2" s="75" t="s">
        <v>33</v>
      </c>
      <c r="H2" s="75" t="s">
        <v>101</v>
      </c>
      <c r="I2" s="76" t="s">
        <v>102</v>
      </c>
    </row>
    <row r="3" spans="1:9" ht="20.399999999999999" customHeight="1" x14ac:dyDescent="0.3">
      <c r="A3" s="87" t="s">
        <v>103</v>
      </c>
      <c r="B3" s="87"/>
      <c r="C3" s="87"/>
      <c r="D3" s="87"/>
      <c r="E3" s="87"/>
      <c r="F3" s="87"/>
      <c r="G3" s="87"/>
      <c r="H3" s="87"/>
      <c r="I3" s="87"/>
    </row>
    <row r="4" spans="1:9" ht="30" customHeight="1" x14ac:dyDescent="0.3">
      <c r="A4" s="59" t="s">
        <v>104</v>
      </c>
      <c r="B4" s="60" t="s">
        <v>105</v>
      </c>
      <c r="C4" s="61">
        <f>IFERROR('1_Financial_Data'!C31/'1_Financial_Data'!C23,"-")</f>
        <v>4.072847682119205</v>
      </c>
      <c r="D4" s="61">
        <f>IFERROR('1_Financial_Data'!D31/'1_Financial_Data'!D23,"-")</f>
        <v>3.1230769230769231</v>
      </c>
      <c r="E4" s="61">
        <f>IFERROR('1_Financial_Data'!E31/'1_Financial_Data'!E23,"-")</f>
        <v>4.143540669856459</v>
      </c>
      <c r="F4" s="61">
        <f>IFERROR('1_Financial_Data'!F31/'1_Financial_Data'!F23,"-")</f>
        <v>4.3506493506493502</v>
      </c>
      <c r="G4" s="61">
        <f>IFERROR('1_Financial_Data'!G31/'1_Financial_Data'!G23,"-")</f>
        <v>4.484375</v>
      </c>
      <c r="H4" s="62" t="s">
        <v>106</v>
      </c>
      <c r="I4" s="60" t="s">
        <v>107</v>
      </c>
    </row>
    <row r="5" spans="1:9" ht="30" customHeight="1" x14ac:dyDescent="0.3">
      <c r="A5" s="59" t="s">
        <v>108</v>
      </c>
      <c r="B5" s="60" t="s">
        <v>109</v>
      </c>
      <c r="C5" s="61">
        <f>IFERROR(('1_Financial_Data'!C31-'1_Financial_Data'!C29)/'1_Financial_Data'!C23,"-")</f>
        <v>1.7218543046357615</v>
      </c>
      <c r="D5" s="61">
        <f>IFERROR(('1_Financial_Data'!D31-'1_Financial_Data'!D29)/'1_Financial_Data'!D23,"-")</f>
        <v>1.5615384615384615</v>
      </c>
      <c r="E5" s="61">
        <f>IFERROR(('1_Financial_Data'!E31-'1_Financial_Data'!E29)/'1_Financial_Data'!E23,"-")</f>
        <v>1.7894736842105263</v>
      </c>
      <c r="F5" s="61">
        <f>IFERROR(('1_Financial_Data'!F31-'1_Financial_Data'!F29)/'1_Financial_Data'!F23,"-")</f>
        <v>1.9090909090909092</v>
      </c>
      <c r="G5" s="61">
        <f>IFERROR(('1_Financial_Data'!G31-'1_Financial_Data'!G29)/'1_Financial_Data'!G23,"-")</f>
        <v>2.11328125</v>
      </c>
      <c r="H5" s="62" t="s">
        <v>110</v>
      </c>
      <c r="I5" s="60" t="s">
        <v>111</v>
      </c>
    </row>
    <row r="6" spans="1:9" ht="30" customHeight="1" x14ac:dyDescent="0.3">
      <c r="A6" s="59" t="s">
        <v>112</v>
      </c>
      <c r="B6" s="60" t="s">
        <v>113</v>
      </c>
      <c r="C6" s="61">
        <f>IFERROR('1_Financial_Data'!C27/'1_Financial_Data'!C23,"-")</f>
        <v>6.6225165562913907E-3</v>
      </c>
      <c r="D6" s="61">
        <f>IFERROR('1_Financial_Data'!D27/'1_Financial_Data'!D23,"-")</f>
        <v>3.8461538461538464E-3</v>
      </c>
      <c r="E6" s="61">
        <f>IFERROR('1_Financial_Data'!E27/'1_Financial_Data'!E23,"-")</f>
        <v>0</v>
      </c>
      <c r="F6" s="61">
        <f>IFERROR('1_Financial_Data'!F27/'1_Financial_Data'!F23,"-")</f>
        <v>0</v>
      </c>
      <c r="G6" s="61">
        <f>IFERROR('1_Financial_Data'!G27/'1_Financial_Data'!G23,"-")</f>
        <v>3.90625E-2</v>
      </c>
      <c r="H6" s="62" t="s">
        <v>114</v>
      </c>
      <c r="I6" s="60" t="s">
        <v>115</v>
      </c>
    </row>
    <row r="7" spans="1:9" ht="21.6" customHeight="1" x14ac:dyDescent="0.3">
      <c r="A7" s="87" t="s">
        <v>116</v>
      </c>
      <c r="B7" s="87"/>
      <c r="C7" s="87"/>
      <c r="D7" s="87"/>
      <c r="E7" s="87"/>
      <c r="F7" s="87"/>
      <c r="G7" s="87"/>
      <c r="H7" s="87"/>
      <c r="I7" s="87"/>
    </row>
    <row r="8" spans="1:9" ht="30" customHeight="1" x14ac:dyDescent="0.3">
      <c r="A8" s="59" t="s">
        <v>117</v>
      </c>
      <c r="B8" s="60" t="s">
        <v>118</v>
      </c>
      <c r="C8" s="61">
        <f>IFERROR('1_Financial_Data'!C22/'1_Financial_Data'!C19,"-")</f>
        <v>1.7069271758436946</v>
      </c>
      <c r="D8" s="61">
        <f>IFERROR('1_Financial_Data'!D22/'1_Financial_Data'!D19,"-")</f>
        <v>0.78538812785388123</v>
      </c>
      <c r="E8" s="61">
        <f>IFERROR('1_Financial_Data'!E22/'1_Financial_Data'!E19,"-")</f>
        <v>0.95238095238095233</v>
      </c>
      <c r="F8" s="61">
        <f>IFERROR('1_Financial_Data'!F22/'1_Financial_Data'!F19,"-")</f>
        <v>1.168411867364747</v>
      </c>
      <c r="G8" s="61">
        <f>IFERROR('1_Financial_Data'!G22/'1_Financial_Data'!G19,"-")</f>
        <v>0.88863463005339438</v>
      </c>
      <c r="H8" s="62" t="s">
        <v>119</v>
      </c>
      <c r="I8" s="60" t="s">
        <v>120</v>
      </c>
    </row>
    <row r="9" spans="1:9" ht="30" customHeight="1" x14ac:dyDescent="0.3">
      <c r="A9" s="59" t="s">
        <v>121</v>
      </c>
      <c r="B9" s="60" t="s">
        <v>122</v>
      </c>
      <c r="C9" s="61">
        <f>IFERROR('1_Financial_Data'!C22/'1_Financial_Data'!C32,"-")</f>
        <v>0.57304710793082891</v>
      </c>
      <c r="D9" s="61">
        <f>IFERROR('1_Financial_Data'!D22/'1_Financial_Data'!D32,"-")</f>
        <v>0.37719298245614036</v>
      </c>
      <c r="E9" s="61">
        <f>IFERROR('1_Financial_Data'!E22/'1_Financial_Data'!E32,"-")</f>
        <v>0.44203879115922418</v>
      </c>
      <c r="F9" s="61">
        <f>IFERROR('1_Financial_Data'!F22/'1_Financial_Data'!F32,"-")</f>
        <v>0.49300441826215025</v>
      </c>
      <c r="G9" s="61">
        <f>IFERROR('1_Financial_Data'!G22/'1_Financial_Data'!G32,"-")</f>
        <v>0.42642752562225478</v>
      </c>
      <c r="H9" s="62" t="s">
        <v>123</v>
      </c>
      <c r="I9" s="60" t="s">
        <v>124</v>
      </c>
    </row>
    <row r="10" spans="1:9" ht="30" customHeight="1" x14ac:dyDescent="0.3">
      <c r="A10" s="59" t="s">
        <v>125</v>
      </c>
      <c r="B10" s="60" t="s">
        <v>126</v>
      </c>
      <c r="C10" s="61">
        <f>IFERROR('1_Financial_Data'!C9/'1_Financial_Data'!C11,"-")</f>
        <v>2.6774193548387095</v>
      </c>
      <c r="D10" s="61">
        <f>IFERROR('1_Financial_Data'!D9/'1_Financial_Data'!D11,"-")</f>
        <v>10.254545454545454</v>
      </c>
      <c r="E10" s="61">
        <f>IFERROR('1_Financial_Data'!E9/'1_Financial_Data'!E11,"-")</f>
        <v>5.5263157894736841</v>
      </c>
      <c r="F10" s="61">
        <f>IFERROR('1_Financial_Data'!F9/'1_Financial_Data'!F11,"-")</f>
        <v>3.1204819277108435</v>
      </c>
      <c r="G10" s="61">
        <f>IFERROR('1_Financial_Data'!G9/'1_Financial_Data'!G11,"-")</f>
        <v>3.588888888888889</v>
      </c>
      <c r="H10" s="62" t="s">
        <v>127</v>
      </c>
      <c r="I10" s="60" t="s">
        <v>128</v>
      </c>
    </row>
    <row r="11" spans="1:9" ht="30" customHeight="1" x14ac:dyDescent="0.3">
      <c r="A11" s="59" t="s">
        <v>129</v>
      </c>
      <c r="B11" s="60" t="s">
        <v>130</v>
      </c>
      <c r="C11" s="61">
        <f>IFERROR('1_Financial_Data'!C24/'1_Financial_Data'!C19,"-")</f>
        <v>2.9751332149200711</v>
      </c>
      <c r="D11" s="61">
        <f>IFERROR('1_Financial_Data'!D24/'1_Financial_Data'!D19,"-")</f>
        <v>2.0821917808219177</v>
      </c>
      <c r="E11" s="61">
        <f>IFERROR('1_Financial_Data'!E24/'1_Financial_Data'!E19,"-")</f>
        <v>2.1554907677356656</v>
      </c>
      <c r="F11" s="61">
        <f>IFERROR('1_Financial_Data'!F24/'1_Financial_Data'!F19,"-")</f>
        <v>2.3699825479930192</v>
      </c>
      <c r="G11" s="61">
        <f>IFERROR('1_Financial_Data'!G24/'1_Financial_Data'!G19,"-")</f>
        <v>2.083905415713196</v>
      </c>
      <c r="H11" s="62" t="s">
        <v>131</v>
      </c>
      <c r="I11" s="60" t="s">
        <v>132</v>
      </c>
    </row>
    <row r="12" spans="1:9" ht="19.2" customHeight="1" x14ac:dyDescent="0.3">
      <c r="A12" s="87" t="s">
        <v>133</v>
      </c>
      <c r="B12" s="87"/>
      <c r="C12" s="87"/>
      <c r="D12" s="87"/>
      <c r="E12" s="87"/>
      <c r="F12" s="87"/>
      <c r="G12" s="87"/>
      <c r="H12" s="87"/>
      <c r="I12" s="87"/>
    </row>
    <row r="13" spans="1:9" ht="30" customHeight="1" x14ac:dyDescent="0.3">
      <c r="A13" s="59" t="s">
        <v>134</v>
      </c>
      <c r="B13" s="60" t="s">
        <v>135</v>
      </c>
      <c r="C13" s="58">
        <f>IFERROR('1_Financial_Data'!C7/'1_Financial_Data'!C5,"-")</f>
        <v>0.15844636251541308</v>
      </c>
      <c r="D13" s="58">
        <f>IFERROR('1_Financial_Data'!D7/'1_Financial_Data'!D5,"-")</f>
        <v>0.24200743494423793</v>
      </c>
      <c r="E13" s="58">
        <f>IFERROR('1_Financial_Data'!E7/'1_Financial_Data'!E5,"-")</f>
        <v>0.12354409317803661</v>
      </c>
      <c r="F13" s="58">
        <f>IFERROR('1_Financial_Data'!F7/'1_Financial_Data'!F5,"-")</f>
        <v>0.12991040661612682</v>
      </c>
      <c r="G13" s="58">
        <f>IFERROR('1_Financial_Data'!G7/'1_Financial_Data'!G5,"-")</f>
        <v>0.14272727272727273</v>
      </c>
      <c r="H13" s="62" t="s">
        <v>136</v>
      </c>
      <c r="I13" s="60" t="s">
        <v>137</v>
      </c>
    </row>
    <row r="14" spans="1:9" ht="30" customHeight="1" x14ac:dyDescent="0.3">
      <c r="A14" s="59" t="s">
        <v>138</v>
      </c>
      <c r="B14" s="60" t="s">
        <v>139</v>
      </c>
      <c r="C14" s="58">
        <f>IFERROR('1_Financial_Data'!C9/'1_Financial_Data'!C5,"-")</f>
        <v>0.10234278668310727</v>
      </c>
      <c r="D14" s="58">
        <f>IFERROR('1_Financial_Data'!D9/'1_Financial_Data'!D5,"-")</f>
        <v>0.20966542750929368</v>
      </c>
      <c r="E14" s="58">
        <f>IFERROR('1_Financial_Data'!E9/'1_Financial_Data'!E5,"-")</f>
        <v>8.7354409317803666E-2</v>
      </c>
      <c r="F14" s="58">
        <f>IFERROR('1_Financial_Data'!F9/'1_Financial_Data'!F5,"-")</f>
        <v>8.9248793935217091E-2</v>
      </c>
      <c r="G14" s="58">
        <f>IFERROR('1_Financial_Data'!G9/'1_Financial_Data'!G5,"-")</f>
        <v>9.7878787878787885E-2</v>
      </c>
      <c r="H14" s="62" t="s">
        <v>140</v>
      </c>
      <c r="I14" s="60" t="s">
        <v>141</v>
      </c>
    </row>
    <row r="15" spans="1:9" ht="30" customHeight="1" x14ac:dyDescent="0.3">
      <c r="A15" s="59" t="s">
        <v>142</v>
      </c>
      <c r="B15" s="60" t="s">
        <v>143</v>
      </c>
      <c r="C15" s="58">
        <f>IFERROR('1_Financial_Data'!C14/'1_Financial_Data'!C5,"-")</f>
        <v>4.2262638717632563E-2</v>
      </c>
      <c r="D15" s="58">
        <f>IFERROR('1_Financial_Data'!D14/'1_Financial_Data'!D5,"-")</f>
        <v>0.12038661710037175</v>
      </c>
      <c r="E15" s="58">
        <f>IFERROR('1_Financial_Data'!E14/'1_Financial_Data'!E5,"-")</f>
        <v>6.84026622296173E-2</v>
      </c>
      <c r="F15" s="58">
        <f>IFERROR('1_Financial_Data'!F14/'1_Financial_Data'!F5,"-")</f>
        <v>4.5389386629910405E-2</v>
      </c>
      <c r="G15" s="58">
        <f>IFERROR('1_Financial_Data'!G14/'1_Financial_Data'!G5,"-")</f>
        <v>5.3145454545454544E-2</v>
      </c>
      <c r="H15" s="62" t="s">
        <v>144</v>
      </c>
      <c r="I15" s="60" t="s">
        <v>145</v>
      </c>
    </row>
    <row r="16" spans="1:9" ht="30" customHeight="1" x14ac:dyDescent="0.3">
      <c r="A16" s="59" t="s">
        <v>146</v>
      </c>
      <c r="B16" s="60" t="s">
        <v>147</v>
      </c>
      <c r="C16" s="58">
        <f>IFERROR('1_Financial_Data'!C14/'1_Financial_Data'!C19,"-")</f>
        <v>0.12175843694493785</v>
      </c>
      <c r="D16" s="58">
        <f>IFERROR('1_Financial_Data'!D14/'1_Financial_Data'!D19,"-")</f>
        <v>0.3696803652968037</v>
      </c>
      <c r="E16" s="58">
        <f>IFERROR('1_Financial_Data'!E14/'1_Financial_Data'!E19,"-")</f>
        <v>0.15980563654033042</v>
      </c>
      <c r="F16" s="58">
        <f>IFERROR('1_Financial_Data'!F14/'1_Financial_Data'!F19,"-")</f>
        <v>0.11493891797556718</v>
      </c>
      <c r="G16" s="58">
        <f>IFERROR('1_Financial_Data'!G14/'1_Financial_Data'!G19,"-")</f>
        <v>0.13377574370709383</v>
      </c>
      <c r="H16" s="62" t="s">
        <v>148</v>
      </c>
      <c r="I16" s="60" t="s">
        <v>149</v>
      </c>
    </row>
    <row r="17" spans="1:9" ht="30" customHeight="1" x14ac:dyDescent="0.3">
      <c r="A17" s="59" t="s">
        <v>150</v>
      </c>
      <c r="B17" s="60" t="s">
        <v>151</v>
      </c>
      <c r="C17" s="58">
        <f>IFERROR('1_Financial_Data'!C14/'1_Financial_Data'!C32,"-")</f>
        <v>4.0876565295169955E-2</v>
      </c>
      <c r="D17" s="58">
        <f>IFERROR('1_Financial_Data'!D14/'1_Financial_Data'!D32,"-")</f>
        <v>0.17754385964912284</v>
      </c>
      <c r="E17" s="58">
        <f>IFERROR('1_Financial_Data'!E14/'1_Financial_Data'!E32,"-")</f>
        <v>7.4172304916553897E-2</v>
      </c>
      <c r="F17" s="58">
        <f>IFERROR('1_Financial_Data'!F14/'1_Financial_Data'!F32,"-")</f>
        <v>4.8497790868924889E-2</v>
      </c>
      <c r="G17" s="58">
        <f>IFERROR('1_Financial_Data'!G14/'1_Financial_Data'!G32,"-")</f>
        <v>6.4194729136163975E-2</v>
      </c>
      <c r="H17" s="62" t="s">
        <v>144</v>
      </c>
      <c r="I17" s="60" t="s">
        <v>152</v>
      </c>
    </row>
    <row r="18" spans="1:9" ht="15" customHeight="1" x14ac:dyDescent="0.3">
      <c r="A18" s="87" t="s">
        <v>153</v>
      </c>
      <c r="B18" s="87"/>
      <c r="C18" s="87"/>
      <c r="D18" s="87"/>
      <c r="E18" s="87"/>
      <c r="F18" s="87"/>
      <c r="G18" s="87"/>
      <c r="H18" s="87"/>
      <c r="I18" s="87"/>
    </row>
    <row r="19" spans="1:9" ht="30" customHeight="1" x14ac:dyDescent="0.3">
      <c r="A19" s="59" t="s">
        <v>154</v>
      </c>
      <c r="B19" s="60" t="s">
        <v>155</v>
      </c>
      <c r="C19" s="61">
        <f>IFERROR('1_Financial_Data'!C7/('1_Financial_Data'!C43+'1_Financial_Data'!C42),"-")</f>
        <v>1.8028761837951595</v>
      </c>
      <c r="D19" s="61">
        <f>IFERROR('1_Financial_Data'!D7/('1_Financial_Data'!D43+'1_Financial_Data'!D42),"-")</f>
        <v>1.9821575373747833</v>
      </c>
      <c r="E19" s="61">
        <f>IFERROR('1_Financial_Data'!E7/('1_Financial_Data'!E43+'1_Financial_Data'!E42),"-")</f>
        <v>2.2920203735144309</v>
      </c>
      <c r="F19" s="61">
        <f>IFERROR('1_Financial_Data'!F7/('1_Financial_Data'!F43+'1_Financial_Data'!F42),"-")</f>
        <v>1.9846283428090126</v>
      </c>
      <c r="G19" s="61">
        <f>IFERROR('1_Financial_Data'!G7/('1_Financial_Data'!G43+'1_Financial_Data'!G42),"-")</f>
        <v>1.7815265905136546</v>
      </c>
      <c r="H19" s="62" t="s">
        <v>156</v>
      </c>
      <c r="I19" s="60" t="s">
        <v>157</v>
      </c>
    </row>
    <row r="20" spans="1:9" ht="30" customHeight="1" x14ac:dyDescent="0.3">
      <c r="A20" s="59" t="s">
        <v>158</v>
      </c>
      <c r="B20" s="60" t="s">
        <v>159</v>
      </c>
      <c r="C20" s="61">
        <f>IFERROR('1_Financial_Data'!C38/'1_Financial_Data'!C22,"-")</f>
        <v>0.16129032258064516</v>
      </c>
      <c r="D20" s="61">
        <f>IFERROR('1_Financial_Data'!D38/'1_Financial_Data'!D22,"-")</f>
        <v>0.62645348837209303</v>
      </c>
      <c r="E20" s="61">
        <f>IFERROR('1_Financial_Data'!E38/'1_Financial_Data'!E22,"-")</f>
        <v>0.19795918367346937</v>
      </c>
      <c r="F20" s="61">
        <f>IFERROR('1_Financial_Data'!F38/'1_Financial_Data'!F22,"-")</f>
        <v>0.12173263629574309</v>
      </c>
      <c r="G20" s="61">
        <f>IFERROR('1_Financial_Data'!G38/'1_Financial_Data'!G22,"-")</f>
        <v>0.263519313304721</v>
      </c>
      <c r="H20" s="62" t="s">
        <v>160</v>
      </c>
      <c r="I20" s="60" t="s">
        <v>161</v>
      </c>
    </row>
    <row r="21" spans="1:9" ht="15" customHeight="1" x14ac:dyDescent="0.3">
      <c r="A21" s="87" t="s">
        <v>162</v>
      </c>
      <c r="B21" s="87"/>
      <c r="C21" s="87"/>
      <c r="D21" s="87"/>
      <c r="E21" s="87"/>
      <c r="F21" s="87"/>
      <c r="G21" s="87"/>
      <c r="H21" s="87"/>
      <c r="I21" s="87"/>
    </row>
    <row r="22" spans="1:9" ht="30" customHeight="1" x14ac:dyDescent="0.3">
      <c r="A22" s="59" t="s">
        <v>163</v>
      </c>
      <c r="B22" s="60" t="s">
        <v>164</v>
      </c>
      <c r="C22" s="63">
        <f>IFERROR(('1_Financial_Data'!C28/'1_Financial_Data'!C5)*365,"-")</f>
        <v>37.355117139334155</v>
      </c>
      <c r="D22" s="63">
        <f>IFERROR(('1_Financial_Data'!D28/'1_Financial_Data'!D5)*365,"-")</f>
        <v>32.70074349442379</v>
      </c>
      <c r="E22" s="63">
        <f>IFERROR(('1_Financial_Data'!E28/'1_Financial_Data'!E5)*365,"-")</f>
        <v>33.858153078202996</v>
      </c>
      <c r="F22" s="63">
        <f>IFERROR(('1_Financial_Data'!F28/'1_Financial_Data'!F5)*365,"-")</f>
        <v>40.373880082701589</v>
      </c>
      <c r="G22" s="63">
        <f>IFERROR(('1_Financial_Data'!G28/'1_Financial_Data'!G5)*365,"-")</f>
        <v>47.560606060606062</v>
      </c>
      <c r="H22" s="62" t="s">
        <v>165</v>
      </c>
      <c r="I22" s="60" t="s">
        <v>166</v>
      </c>
    </row>
    <row r="23" spans="1:9" ht="30" customHeight="1" x14ac:dyDescent="0.3">
      <c r="A23" s="59" t="s">
        <v>167</v>
      </c>
      <c r="B23" s="60" t="s">
        <v>168</v>
      </c>
      <c r="C23" s="63">
        <f>IFERROR(('1_Financial_Data'!C29/'1_Financial_Data'!C5)*365,"-")</f>
        <v>79.885943279901355</v>
      </c>
      <c r="D23" s="63">
        <f>IFERROR(('1_Financial_Data'!D29/'1_Financial_Data'!D5)*365,"-")</f>
        <v>55.089219330855016</v>
      </c>
      <c r="E23" s="63">
        <f>IFERROR(('1_Financial_Data'!E29/'1_Financial_Data'!E5)*365,"-")</f>
        <v>74.700499168053256</v>
      </c>
      <c r="F23" s="63">
        <f>IFERROR(('1_Financial_Data'!F29/'1_Financial_Data'!F5)*365,"-")</f>
        <v>70.937284631288762</v>
      </c>
      <c r="G23" s="63">
        <f>IFERROR(('1_Financial_Data'!G29/'1_Financial_Data'!G5)*365,"-")</f>
        <v>67.13787878787879</v>
      </c>
      <c r="H23" s="62" t="s">
        <v>169</v>
      </c>
      <c r="I23" s="60" t="s">
        <v>170</v>
      </c>
    </row>
    <row r="24" spans="1:9" ht="30" customHeight="1" x14ac:dyDescent="0.3">
      <c r="A24" s="59" t="s">
        <v>171</v>
      </c>
      <c r="B24" s="60" t="s">
        <v>172</v>
      </c>
      <c r="C24" s="63">
        <f>IFERROR('1_Financial_Data'!C5/'1_Financial_Data'!C32,"-")</f>
        <v>0.9672033392963626</v>
      </c>
      <c r="D24" s="63">
        <f>IFERROR('1_Financial_Data'!D5/'1_Financial_Data'!D32,"-")</f>
        <v>1.4747807017543859</v>
      </c>
      <c r="E24" s="63">
        <f>IFERROR('1_Financial_Data'!E5/'1_Financial_Data'!E32,"-")</f>
        <v>1.0843482183130357</v>
      </c>
      <c r="F24" s="63">
        <f>IFERROR('1_Financial_Data'!F5/'1_Financial_Data'!F32,"-")</f>
        <v>1.0684830633284241</v>
      </c>
      <c r="G24" s="63">
        <f>IFERROR('1_Financial_Data'!G5/'1_Financial_Data'!G32,"-")</f>
        <v>1.2079062957540263</v>
      </c>
      <c r="H24" s="62" t="s">
        <v>173</v>
      </c>
      <c r="I24" s="60" t="s">
        <v>174</v>
      </c>
    </row>
    <row r="25" spans="1:9" ht="15" customHeight="1" x14ac:dyDescent="0.3">
      <c r="A25" s="87" t="s">
        <v>175</v>
      </c>
      <c r="B25" s="87"/>
      <c r="C25" s="87"/>
      <c r="D25" s="87"/>
      <c r="E25" s="87"/>
      <c r="F25" s="87"/>
      <c r="G25" s="87"/>
      <c r="H25" s="87"/>
      <c r="I25" s="87"/>
    </row>
    <row r="26" spans="1:9" ht="30" customHeight="1" x14ac:dyDescent="0.3">
      <c r="A26" s="59" t="s">
        <v>176</v>
      </c>
      <c r="B26" s="60" t="s">
        <v>177</v>
      </c>
      <c r="C26" s="64" t="s">
        <v>178</v>
      </c>
      <c r="D26" s="58">
        <f>IFERROR(('1_Financial_Data'!D5/'1_Financial_Data'!C5)-1,"-")</f>
        <v>0.65844636251541311</v>
      </c>
      <c r="E26" s="58">
        <f>IFERROR(('1_Financial_Data'!E5/'1_Financial_Data'!D5)-1,"-")</f>
        <v>-0.10631970260223045</v>
      </c>
      <c r="F26" s="58">
        <f>IFERROR(('1_Financial_Data'!F5/'1_Financial_Data'!E5)-1,"-")</f>
        <v>0.20715474209650586</v>
      </c>
      <c r="G26" s="58">
        <f>IFERROR(('1_Financial_Data'!G5/'1_Financial_Data'!F5)-1,"-")</f>
        <v>0.13714679531357676</v>
      </c>
      <c r="H26" s="62" t="s">
        <v>179</v>
      </c>
      <c r="I26" s="60" t="s">
        <v>180</v>
      </c>
    </row>
    <row r="27" spans="1:9" ht="30" customHeight="1" x14ac:dyDescent="0.3">
      <c r="A27" s="59" t="s">
        <v>181</v>
      </c>
      <c r="B27" s="60" t="s">
        <v>182</v>
      </c>
      <c r="C27" s="64" t="s">
        <v>178</v>
      </c>
      <c r="D27" s="58">
        <f>IFERROR(('1_Financial_Data'!D14/'1_Financial_Data'!C14)-1,"-")</f>
        <v>3.7241429613420856</v>
      </c>
      <c r="E27" s="58">
        <f>IFERROR(('1_Financial_Data'!E14/'1_Financial_Data'!D14)-1,"-")</f>
        <v>-0.49221837944664038</v>
      </c>
      <c r="F27" s="58">
        <f>IFERROR(('1_Financial_Data'!F14/'1_Financial_Data'!E14)-1,"-")</f>
        <v>-0.19897835076623693</v>
      </c>
      <c r="G27" s="58">
        <f>IFERROR(('1_Financial_Data'!G14/'1_Financial_Data'!F14)-1,"-")</f>
        <v>0.3314606741573034</v>
      </c>
      <c r="H27" s="62" t="s">
        <v>179</v>
      </c>
      <c r="I27" s="60" t="s">
        <v>183</v>
      </c>
    </row>
  </sheetData>
  <mergeCells count="7">
    <mergeCell ref="A21:I21"/>
    <mergeCell ref="A25:I25"/>
    <mergeCell ref="A1:I1"/>
    <mergeCell ref="A3:I3"/>
    <mergeCell ref="A7:I7"/>
    <mergeCell ref="A12:I12"/>
    <mergeCell ref="A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showGridLines="0" zoomScale="98" zoomScaleNormal="98" workbookViewId="0">
      <selection activeCell="K8" sqref="K8"/>
    </sheetView>
  </sheetViews>
  <sheetFormatPr defaultColWidth="8.6640625" defaultRowHeight="14.4" x14ac:dyDescent="0.3"/>
  <cols>
    <col min="1" max="1" width="11.6640625" customWidth="1"/>
    <col min="2" max="2" width="39.21875" customWidth="1"/>
    <col min="3" max="3" width="28" customWidth="1"/>
    <col min="4" max="9" width="19.5546875" customWidth="1"/>
    <col min="10" max="10" width="6.77734375" customWidth="1"/>
  </cols>
  <sheetData>
    <row r="1" spans="1:9" ht="27.75" customHeight="1" x14ac:dyDescent="0.3">
      <c r="A1" s="86" t="s">
        <v>184</v>
      </c>
      <c r="B1" s="86"/>
      <c r="C1" s="86"/>
      <c r="D1" s="86"/>
      <c r="E1" s="86"/>
      <c r="F1" s="86"/>
      <c r="G1" s="86"/>
      <c r="H1" s="86"/>
      <c r="I1" s="86"/>
    </row>
    <row r="2" spans="1:9" ht="21.75" customHeight="1" x14ac:dyDescent="0.3">
      <c r="A2" s="104" t="s">
        <v>185</v>
      </c>
      <c r="B2" s="104"/>
      <c r="C2" s="104"/>
      <c r="D2" s="104"/>
      <c r="E2" s="104"/>
      <c r="F2" s="104"/>
      <c r="G2" s="104"/>
      <c r="H2" s="104"/>
      <c r="I2" s="104"/>
    </row>
    <row r="3" spans="1:9" ht="15" customHeight="1" x14ac:dyDescent="0.3">
      <c r="A3" s="74" t="s">
        <v>186</v>
      </c>
      <c r="B3" s="74" t="s">
        <v>187</v>
      </c>
      <c r="C3" s="76" t="s">
        <v>100</v>
      </c>
      <c r="D3" s="75" t="s">
        <v>188</v>
      </c>
      <c r="E3" s="75" t="s">
        <v>29</v>
      </c>
      <c r="F3" s="75" t="s">
        <v>30</v>
      </c>
      <c r="G3" s="75" t="s">
        <v>31</v>
      </c>
      <c r="H3" s="75" t="s">
        <v>32</v>
      </c>
      <c r="I3" s="75" t="s">
        <v>33</v>
      </c>
    </row>
    <row r="4" spans="1:9" ht="15" customHeight="1" x14ac:dyDescent="0.3">
      <c r="A4" s="105" t="s">
        <v>189</v>
      </c>
      <c r="B4" s="106"/>
      <c r="C4" s="106"/>
      <c r="D4" s="106"/>
      <c r="E4" s="106"/>
      <c r="F4" s="106"/>
      <c r="G4" s="106"/>
      <c r="H4" s="106"/>
      <c r="I4" s="107"/>
    </row>
    <row r="5" spans="1:9" ht="21.75" customHeight="1" x14ac:dyDescent="0.3">
      <c r="A5" s="66" t="s">
        <v>190</v>
      </c>
      <c r="B5" s="67" t="s">
        <v>191</v>
      </c>
      <c r="C5" s="68" t="s">
        <v>192</v>
      </c>
      <c r="D5" s="6">
        <v>1.2</v>
      </c>
      <c r="E5" s="40">
        <f>IFERROR('1_Financial_Data'!C33/'1_Financial_Data'!C32,"-")</f>
        <v>0.27668455575432321</v>
      </c>
      <c r="F5" s="40">
        <f>IFERROR('1_Financial_Data'!D33/'1_Financial_Data'!D32,"-")</f>
        <v>0.30263157894736842</v>
      </c>
      <c r="G5" s="40">
        <f>IFERROR('1_Financial_Data'!E33/'1_Financial_Data'!E32,"-")</f>
        <v>0.29634641407307172</v>
      </c>
      <c r="H5" s="40">
        <f>IFERROR('1_Financial_Data'!F33/'1_Financial_Data'!F32,"-")</f>
        <v>0.28497790868924888</v>
      </c>
      <c r="I5" s="40">
        <f>IFERROR('1_Financial_Data'!G33/'1_Financial_Data'!G32,"-")</f>
        <v>0.32650073206442165</v>
      </c>
    </row>
    <row r="6" spans="1:9" ht="21.75" customHeight="1" x14ac:dyDescent="0.3">
      <c r="A6" s="66" t="s">
        <v>193</v>
      </c>
      <c r="B6" s="67" t="s">
        <v>194</v>
      </c>
      <c r="C6" s="68" t="s">
        <v>195</v>
      </c>
      <c r="D6" s="6">
        <v>1.4</v>
      </c>
      <c r="E6" s="40">
        <f>IFERROR('1_Financial_Data'!C18/'1_Financial_Data'!C32,"-")</f>
        <v>0.30232558139534882</v>
      </c>
      <c r="F6" s="40">
        <f>IFERROR('1_Financial_Data'!D18/'1_Financial_Data'!D32,"-")</f>
        <v>0.44956140350877194</v>
      </c>
      <c r="G6" s="40">
        <f>IFERROR('1_Financial_Data'!E18/'1_Financial_Data'!E32,"-")</f>
        <v>0.43888137122237258</v>
      </c>
      <c r="H6" s="40">
        <f>IFERROR('1_Financial_Data'!F18/'1_Financial_Data'!F32,"-")</f>
        <v>0.40132547864506629</v>
      </c>
      <c r="I6" s="40">
        <f>IFERROR('1_Financial_Data'!G18/'1_Financial_Data'!G32,"-")</f>
        <v>0.45937042459736455</v>
      </c>
    </row>
    <row r="7" spans="1:9" ht="21.75" customHeight="1" x14ac:dyDescent="0.3">
      <c r="A7" s="66" t="s">
        <v>196</v>
      </c>
      <c r="B7" s="67" t="s">
        <v>197</v>
      </c>
      <c r="C7" s="68" t="s">
        <v>198</v>
      </c>
      <c r="D7" s="6">
        <v>3.3</v>
      </c>
      <c r="E7" s="40">
        <f>IFERROR('1_Financial_Data'!C9/'1_Financial_Data'!C32,"-")</f>
        <v>9.8986285032796661E-2</v>
      </c>
      <c r="F7" s="40">
        <f>IFERROR('1_Financial_Data'!D9/'1_Financial_Data'!D32,"-")</f>
        <v>0.30921052631578949</v>
      </c>
      <c r="G7" s="40">
        <f>IFERROR('1_Financial_Data'!E9/'1_Financial_Data'!E32,"-")</f>
        <v>9.4722598105548034E-2</v>
      </c>
      <c r="H7" s="40">
        <f>IFERROR('1_Financial_Data'!F9/'1_Financial_Data'!F32,"-")</f>
        <v>9.5360824742268036E-2</v>
      </c>
      <c r="I7" s="40">
        <f>IFERROR('1_Financial_Data'!G9/'1_Financial_Data'!G32,"-")</f>
        <v>0.11822840409956076</v>
      </c>
    </row>
    <row r="8" spans="1:9" ht="21.75" customHeight="1" x14ac:dyDescent="0.3">
      <c r="A8" s="66" t="s">
        <v>199</v>
      </c>
      <c r="B8" s="67" t="s">
        <v>200</v>
      </c>
      <c r="C8" s="68" t="s">
        <v>201</v>
      </c>
      <c r="D8" s="6">
        <v>0.6</v>
      </c>
      <c r="E8" s="40">
        <f>IFERROR('1_Financial_Data'!C35/'1_Financial_Data'!C24,"-")</f>
        <v>0.25492537313432834</v>
      </c>
      <c r="F8" s="40">
        <f>IFERROR('1_Financial_Data'!D35/'1_Financial_Data'!D24,"-")</f>
        <v>0.86732456140350878</v>
      </c>
      <c r="G8" s="40">
        <f>IFERROR('1_Financial_Data'!E35/'1_Financial_Data'!E24,"-")</f>
        <v>0.5554553651938684</v>
      </c>
      <c r="H8" s="40">
        <f>IFERROR('1_Financial_Data'!F35/'1_Financial_Data'!F24,"-")</f>
        <v>0.7231222385861561</v>
      </c>
      <c r="I8" s="40">
        <f>IFERROR('1_Financial_Data'!G35/'1_Financial_Data'!G24,"-")</f>
        <v>0.98535871156661792</v>
      </c>
    </row>
    <row r="9" spans="1:9" ht="21.75" customHeight="1" x14ac:dyDescent="0.3">
      <c r="A9" s="66" t="s">
        <v>202</v>
      </c>
      <c r="B9" s="67" t="s">
        <v>172</v>
      </c>
      <c r="C9" s="68" t="s">
        <v>203</v>
      </c>
      <c r="D9" s="6">
        <v>1</v>
      </c>
      <c r="E9" s="40">
        <f>IFERROR('1_Financial_Data'!C5/'1_Financial_Data'!C32,"-")</f>
        <v>0.9672033392963626</v>
      </c>
      <c r="F9" s="40">
        <f>IFERROR('1_Financial_Data'!D5/'1_Financial_Data'!D32,"-")</f>
        <v>1.4747807017543859</v>
      </c>
      <c r="G9" s="40">
        <f>IFERROR('1_Financial_Data'!E5/'1_Financial_Data'!E32,"-")</f>
        <v>1.0843482183130357</v>
      </c>
      <c r="H9" s="40">
        <f>IFERROR('1_Financial_Data'!F5/'1_Financial_Data'!F32,"-")</f>
        <v>1.0684830633284241</v>
      </c>
      <c r="I9" s="40">
        <f>IFERROR('1_Financial_Data'!G5/'1_Financial_Data'!G32,"-")</f>
        <v>1.2079062957540263</v>
      </c>
    </row>
    <row r="10" spans="1:9" ht="1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</row>
    <row r="11" spans="1:9" ht="15" customHeight="1" x14ac:dyDescent="0.3">
      <c r="A11" s="108" t="s">
        <v>204</v>
      </c>
      <c r="B11" s="109"/>
      <c r="C11" s="109"/>
      <c r="D11" s="109"/>
      <c r="E11" s="109"/>
      <c r="F11" s="109"/>
      <c r="G11" s="109"/>
      <c r="H11" s="109"/>
      <c r="I11" s="110"/>
    </row>
    <row r="12" spans="1:9" ht="19.5" customHeight="1" x14ac:dyDescent="0.3">
      <c r="A12" s="70" t="s">
        <v>205</v>
      </c>
      <c r="B12" s="71" t="s">
        <v>206</v>
      </c>
      <c r="C12" s="68" t="s">
        <v>207</v>
      </c>
      <c r="D12" s="6">
        <v>1.2</v>
      </c>
      <c r="E12" s="14">
        <f>IFERROR(D12*E5,"-")</f>
        <v>0.33202146690518786</v>
      </c>
      <c r="F12" s="14">
        <f>IFERROR(D12*F5,"-")</f>
        <v>0.36315789473684207</v>
      </c>
      <c r="G12" s="14">
        <f>IFERROR(D12*G5,"-")</f>
        <v>0.35561569688768607</v>
      </c>
      <c r="H12" s="14">
        <f>IFERROR(D12*H5,"-")</f>
        <v>0.34197349042709863</v>
      </c>
      <c r="I12" s="14">
        <f>IFERROR(D12*I5,"-")</f>
        <v>0.39180087847730599</v>
      </c>
    </row>
    <row r="13" spans="1:9" ht="19.5" customHeight="1" x14ac:dyDescent="0.3">
      <c r="A13" s="70" t="s">
        <v>208</v>
      </c>
      <c r="B13" s="71" t="s">
        <v>209</v>
      </c>
      <c r="C13" s="68" t="s">
        <v>210</v>
      </c>
      <c r="D13" s="6">
        <v>1.4</v>
      </c>
      <c r="E13" s="14">
        <f>IFERROR(D13*E6,"-")</f>
        <v>0.42325581395348832</v>
      </c>
      <c r="F13" s="14">
        <f>IFERROR(D13*F6,"-")</f>
        <v>0.62938596491228072</v>
      </c>
      <c r="G13" s="14">
        <f>IFERROR(D13*G6,"-")</f>
        <v>0.61443391971132155</v>
      </c>
      <c r="H13" s="14">
        <f>IFERROR(D13*H6,"-")</f>
        <v>0.56185567010309279</v>
      </c>
      <c r="I13" s="14">
        <f>IFERROR(D13*I6,"-")</f>
        <v>0.64311859443631036</v>
      </c>
    </row>
    <row r="14" spans="1:9" ht="19.5" customHeight="1" x14ac:dyDescent="0.3">
      <c r="A14" s="70" t="s">
        <v>211</v>
      </c>
      <c r="B14" s="71" t="s">
        <v>212</v>
      </c>
      <c r="C14" s="68" t="s">
        <v>213</v>
      </c>
      <c r="D14" s="6">
        <v>3.3</v>
      </c>
      <c r="E14" s="14">
        <f>IFERROR(D14*E7,"-")</f>
        <v>0.32665474060822897</v>
      </c>
      <c r="F14" s="14">
        <f>IFERROR(D14*F7,"-")</f>
        <v>1.0203947368421054</v>
      </c>
      <c r="G14" s="14">
        <f>IFERROR(D14*G7,"-")</f>
        <v>0.3125845737483085</v>
      </c>
      <c r="H14" s="14">
        <f>IFERROR(D14*H7,"-")</f>
        <v>0.31469072164948447</v>
      </c>
      <c r="I14" s="14">
        <f>IFERROR(D14*I7,"-")</f>
        <v>0.39015373352855048</v>
      </c>
    </row>
    <row r="15" spans="1:9" ht="19.5" customHeight="1" x14ac:dyDescent="0.3">
      <c r="A15" s="70" t="s">
        <v>214</v>
      </c>
      <c r="B15" s="71" t="s">
        <v>215</v>
      </c>
      <c r="C15" s="68" t="s">
        <v>216</v>
      </c>
      <c r="D15" s="6">
        <v>0.6</v>
      </c>
      <c r="E15" s="14">
        <f>IFERROR(D15*E8,"-")</f>
        <v>0.15295522388059699</v>
      </c>
      <c r="F15" s="14">
        <f>IFERROR(D15*F8,"-")</f>
        <v>0.52039473684210524</v>
      </c>
      <c r="G15" s="14">
        <f>IFERROR(D15*G8,"-")</f>
        <v>0.33327321911632102</v>
      </c>
      <c r="H15" s="14">
        <f>IFERROR(D15*H8,"-")</f>
        <v>0.43387334315169362</v>
      </c>
      <c r="I15" s="14">
        <f>IFERROR(D15*I8,"-")</f>
        <v>0.59121522693997075</v>
      </c>
    </row>
    <row r="16" spans="1:9" ht="19.5" customHeight="1" x14ac:dyDescent="0.3">
      <c r="A16" s="70" t="s">
        <v>217</v>
      </c>
      <c r="B16" s="71" t="s">
        <v>218</v>
      </c>
      <c r="C16" s="68" t="s">
        <v>219</v>
      </c>
      <c r="D16" s="6">
        <v>1</v>
      </c>
      <c r="E16" s="14">
        <f>IFERROR(D16*E9,"-")</f>
        <v>0.9672033392963626</v>
      </c>
      <c r="F16" s="14">
        <f>IFERROR(D16*F9,"-")</f>
        <v>1.4747807017543859</v>
      </c>
      <c r="G16" s="14">
        <f>IFERROR(D16*G9,"-")</f>
        <v>1.0843482183130357</v>
      </c>
      <c r="H16" s="14">
        <f>IFERROR(D16*H9,"-")</f>
        <v>1.0684830633284241</v>
      </c>
      <c r="I16" s="14">
        <f>IFERROR(D16*I9,"-")</f>
        <v>1.2079062957540263</v>
      </c>
    </row>
    <row r="17" spans="1:9" ht="15" customHeight="1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ht="15" customHeight="1" x14ac:dyDescent="0.3">
      <c r="A18" s="105" t="s">
        <v>220</v>
      </c>
      <c r="B18" s="106"/>
      <c r="C18" s="106"/>
      <c r="D18" s="106"/>
      <c r="E18" s="106"/>
      <c r="F18" s="106"/>
      <c r="G18" s="106"/>
      <c r="H18" s="106"/>
      <c r="I18" s="107"/>
    </row>
    <row r="19" spans="1:9" ht="27.75" customHeight="1" x14ac:dyDescent="0.3">
      <c r="A19" s="77" t="s">
        <v>221</v>
      </c>
      <c r="B19" s="120" t="s">
        <v>369</v>
      </c>
      <c r="C19" s="121"/>
      <c r="D19" s="122"/>
      <c r="E19" s="7">
        <f>IFERROR(E12+E13+E14+E15+E16,"-")</f>
        <v>2.202090584643865</v>
      </c>
      <c r="F19" s="7">
        <f>IFERROR(F12+F13+F14+F15+F16,"-")</f>
        <v>4.0081140350877194</v>
      </c>
      <c r="G19" s="7">
        <f>IFERROR(G12+G13+G14+G15+G16,"-")</f>
        <v>2.7002556277766727</v>
      </c>
      <c r="H19" s="7">
        <f>IFERROR(H12+H13+H14+H15+H16,"-")</f>
        <v>2.7208762886597935</v>
      </c>
      <c r="I19" s="7">
        <f>IFERROR(I12+I13+I14+I15+I16,"-")</f>
        <v>3.2241947291361637</v>
      </c>
    </row>
    <row r="20" spans="1:9" ht="27.6" customHeight="1" x14ac:dyDescent="0.3">
      <c r="A20" s="78" t="s">
        <v>222</v>
      </c>
      <c r="B20" s="120" t="s">
        <v>223</v>
      </c>
      <c r="C20" s="121"/>
      <c r="D20" s="122"/>
      <c r="E20" s="8" t="str">
        <f>IFERROR(IF(E19&gt;2.99,"✅ Safe Zone",IF(E19&gt;=1.81,"⚠ Grey Zone","🔴 Distress")),"-")</f>
        <v>⚠ Grey Zone</v>
      </c>
      <c r="F20" s="8" t="str">
        <f t="shared" ref="F20:I20" si="0">IFERROR(IF(F19&gt;2.99,"✅ Safe Zone",IF(F19&gt;=1.81,"⚠ Grey Zone","🔴 Distress")),"-")</f>
        <v>✅ Safe Zone</v>
      </c>
      <c r="G20" s="8" t="str">
        <f t="shared" si="0"/>
        <v>⚠ Grey Zone</v>
      </c>
      <c r="H20" s="8" t="str">
        <f t="shared" si="0"/>
        <v>⚠ Grey Zone</v>
      </c>
      <c r="I20" s="8" t="str">
        <f t="shared" si="0"/>
        <v>✅ Safe Zone</v>
      </c>
    </row>
    <row r="21" spans="1:9" ht="15" customHeight="1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ht="15" customHeight="1" x14ac:dyDescent="0.3">
      <c r="A22" s="105" t="s">
        <v>224</v>
      </c>
      <c r="B22" s="106"/>
      <c r="C22" s="106"/>
      <c r="D22" s="106"/>
      <c r="E22" s="106"/>
      <c r="F22" s="106"/>
      <c r="G22" s="106"/>
      <c r="H22" s="106"/>
      <c r="I22" s="107"/>
    </row>
    <row r="23" spans="1:9" ht="27.75" customHeight="1" x14ac:dyDescent="0.3">
      <c r="A23" s="9" t="s">
        <v>225</v>
      </c>
      <c r="B23" s="9" t="s">
        <v>226</v>
      </c>
      <c r="C23" s="111" t="s">
        <v>227</v>
      </c>
      <c r="D23" s="112"/>
      <c r="E23" s="112"/>
      <c r="F23" s="112"/>
      <c r="G23" s="112"/>
      <c r="H23" s="112"/>
      <c r="I23" s="113"/>
    </row>
    <row r="24" spans="1:9" ht="27.75" customHeight="1" x14ac:dyDescent="0.3">
      <c r="A24" s="10" t="s">
        <v>228</v>
      </c>
      <c r="B24" s="10" t="s">
        <v>229</v>
      </c>
      <c r="C24" s="114" t="s">
        <v>230</v>
      </c>
      <c r="D24" s="115"/>
      <c r="E24" s="115"/>
      <c r="F24" s="115"/>
      <c r="G24" s="115"/>
      <c r="H24" s="115"/>
      <c r="I24" s="116"/>
    </row>
    <row r="25" spans="1:9" ht="27.75" customHeight="1" x14ac:dyDescent="0.3">
      <c r="A25" s="11" t="s">
        <v>231</v>
      </c>
      <c r="B25" s="11" t="s">
        <v>232</v>
      </c>
      <c r="C25" s="117" t="s">
        <v>233</v>
      </c>
      <c r="D25" s="118"/>
      <c r="E25" s="118"/>
      <c r="F25" s="118"/>
      <c r="G25" s="118"/>
      <c r="H25" s="118"/>
      <c r="I25" s="119"/>
    </row>
  </sheetData>
  <mergeCells count="11">
    <mergeCell ref="A22:I22"/>
    <mergeCell ref="C23:I23"/>
    <mergeCell ref="C24:I24"/>
    <mergeCell ref="C25:I25"/>
    <mergeCell ref="B19:D19"/>
    <mergeCell ref="B20:D20"/>
    <mergeCell ref="A1:I1"/>
    <mergeCell ref="A2:I2"/>
    <mergeCell ref="A4:I4"/>
    <mergeCell ref="A11:I11"/>
    <mergeCell ref="A18:I18"/>
  </mergeCells>
  <conditionalFormatting sqref="E20:I20">
    <cfRule type="containsText" dxfId="9" priority="1" operator="containsText" text="DISTRESS ZONE">
      <formula>NOT(ISERROR(SEARCH("DISTRESS ZONE",E20)))</formula>
    </cfRule>
    <cfRule type="containsText" dxfId="8" priority="2" operator="containsText" text="GREY ZONE">
      <formula>NOT(ISERROR(SEARCH("GREY ZONE",E20)))</formula>
    </cfRule>
    <cfRule type="containsText" dxfId="7" priority="3" operator="containsText" text="SAFE ZONE">
      <formula>NOT(ISERROR(SEARCH("SAFE ZONE",E20)))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showGridLines="0" zoomScaleNormal="100" workbookViewId="0">
      <selection activeCell="A3" sqref="A3"/>
    </sheetView>
  </sheetViews>
  <sheetFormatPr defaultColWidth="8.6640625" defaultRowHeight="14.4" x14ac:dyDescent="0.3"/>
  <cols>
    <col min="1" max="1" width="30" customWidth="1"/>
    <col min="2" max="2" width="16.44140625" customWidth="1"/>
    <col min="3" max="3" width="16" customWidth="1"/>
    <col min="4" max="4" width="16.33203125" customWidth="1"/>
    <col min="5" max="5" width="46.33203125" customWidth="1"/>
    <col min="6" max="6" width="50.6640625" customWidth="1"/>
  </cols>
  <sheetData>
    <row r="1" spans="1:6" ht="27.75" customHeight="1" x14ac:dyDescent="0.3">
      <c r="A1" s="86" t="s">
        <v>234</v>
      </c>
      <c r="B1" s="86"/>
      <c r="C1" s="86"/>
      <c r="D1" s="86"/>
      <c r="E1" s="86"/>
      <c r="F1" s="86"/>
    </row>
    <row r="2" spans="1:6" ht="30" customHeight="1" x14ac:dyDescent="0.3">
      <c r="A2" s="131" t="s">
        <v>413</v>
      </c>
      <c r="B2" s="123"/>
      <c r="C2" s="123"/>
      <c r="D2" s="123"/>
      <c r="E2" s="123"/>
      <c r="F2" s="123"/>
    </row>
    <row r="3" spans="1:6" ht="28.2" customHeight="1" x14ac:dyDescent="0.3">
      <c r="A3" s="79" t="s">
        <v>235</v>
      </c>
      <c r="B3" s="76" t="s">
        <v>236</v>
      </c>
      <c r="C3" s="76" t="s">
        <v>237</v>
      </c>
      <c r="D3" s="76" t="s">
        <v>238</v>
      </c>
      <c r="E3" s="76" t="s">
        <v>239</v>
      </c>
      <c r="F3" s="76" t="s">
        <v>240</v>
      </c>
    </row>
    <row r="4" spans="1:6" ht="18" customHeight="1" x14ac:dyDescent="0.3">
      <c r="A4" s="87" t="s">
        <v>241</v>
      </c>
      <c r="B4" s="87"/>
      <c r="C4" s="87"/>
      <c r="D4" s="87"/>
      <c r="E4" s="87"/>
      <c r="F4" s="87"/>
    </row>
    <row r="5" spans="1:6" ht="27.75" customHeight="1" x14ac:dyDescent="0.3">
      <c r="A5" s="5" t="s">
        <v>242</v>
      </c>
      <c r="B5" s="12">
        <v>0.15</v>
      </c>
      <c r="C5" s="13">
        <v>4</v>
      </c>
      <c r="D5" s="14">
        <f>IFERROR(B5*C5,"-")</f>
        <v>0.6</v>
      </c>
      <c r="E5" s="15" t="s">
        <v>243</v>
      </c>
      <c r="F5" s="16" t="s">
        <v>244</v>
      </c>
    </row>
    <row r="6" spans="1:6" ht="27.75" customHeight="1" x14ac:dyDescent="0.3">
      <c r="A6" s="5" t="s">
        <v>104</v>
      </c>
      <c r="B6" s="12">
        <v>0.1</v>
      </c>
      <c r="C6" s="13">
        <v>5</v>
      </c>
      <c r="D6" s="14">
        <f t="shared" ref="D6:D11" si="0">IFERROR(B6*C6,"-")</f>
        <v>0.5</v>
      </c>
      <c r="E6" s="15" t="s">
        <v>243</v>
      </c>
      <c r="F6" s="16" t="s">
        <v>244</v>
      </c>
    </row>
    <row r="7" spans="1:6" ht="27.75" customHeight="1" x14ac:dyDescent="0.3">
      <c r="A7" s="5" t="s">
        <v>245</v>
      </c>
      <c r="B7" s="12">
        <v>0.1</v>
      </c>
      <c r="C7" s="13">
        <v>4</v>
      </c>
      <c r="D7" s="14">
        <f t="shared" si="0"/>
        <v>0.4</v>
      </c>
      <c r="E7" s="15" t="s">
        <v>243</v>
      </c>
      <c r="F7" s="16" t="s">
        <v>246</v>
      </c>
    </row>
    <row r="8" spans="1:6" ht="27.75" customHeight="1" x14ac:dyDescent="0.3">
      <c r="A8" s="5" t="s">
        <v>134</v>
      </c>
      <c r="B8" s="12">
        <v>0.1</v>
      </c>
      <c r="C8" s="13">
        <v>3</v>
      </c>
      <c r="D8" s="14">
        <f t="shared" si="0"/>
        <v>0.30000000000000004</v>
      </c>
      <c r="E8" s="15" t="s">
        <v>243</v>
      </c>
      <c r="F8" s="16" t="s">
        <v>247</v>
      </c>
    </row>
    <row r="9" spans="1:6" ht="27.75" customHeight="1" x14ac:dyDescent="0.3">
      <c r="A9" s="5" t="s">
        <v>248</v>
      </c>
      <c r="B9" s="12">
        <v>0.1</v>
      </c>
      <c r="C9" s="13">
        <v>3</v>
      </c>
      <c r="D9" s="14">
        <f t="shared" si="0"/>
        <v>0.30000000000000004</v>
      </c>
      <c r="E9" s="15" t="s">
        <v>249</v>
      </c>
      <c r="F9" s="16" t="s">
        <v>250</v>
      </c>
    </row>
    <row r="10" spans="1:6" ht="27.75" customHeight="1" x14ac:dyDescent="0.3">
      <c r="A10" s="5" t="s">
        <v>15</v>
      </c>
      <c r="B10" s="12">
        <v>0.1</v>
      </c>
      <c r="C10" s="13">
        <v>4</v>
      </c>
      <c r="D10" s="14">
        <f t="shared" si="0"/>
        <v>0.4</v>
      </c>
      <c r="E10" s="15" t="s">
        <v>251</v>
      </c>
      <c r="F10" s="16" t="s">
        <v>252</v>
      </c>
    </row>
    <row r="11" spans="1:6" ht="27.75" customHeight="1" x14ac:dyDescent="0.3">
      <c r="A11" s="5" t="s">
        <v>253</v>
      </c>
      <c r="B11" s="12">
        <v>0.05</v>
      </c>
      <c r="C11" s="13">
        <v>4</v>
      </c>
      <c r="D11" s="14">
        <f t="shared" si="0"/>
        <v>0.2</v>
      </c>
      <c r="E11" s="15" t="s">
        <v>243</v>
      </c>
      <c r="F11" s="16" t="s">
        <v>254</v>
      </c>
    </row>
    <row r="12" spans="1:6" ht="15" customHeight="1" x14ac:dyDescent="0.3">
      <c r="A12" s="4"/>
      <c r="B12" s="4"/>
      <c r="C12" s="4"/>
      <c r="D12" s="4"/>
      <c r="E12" s="4"/>
      <c r="F12" s="4"/>
    </row>
    <row r="13" spans="1:6" ht="15" customHeight="1" x14ac:dyDescent="0.3">
      <c r="A13" s="87" t="s">
        <v>255</v>
      </c>
      <c r="B13" s="87"/>
      <c r="C13" s="87"/>
      <c r="D13" s="87"/>
      <c r="E13" s="87"/>
      <c r="F13" s="87"/>
    </row>
    <row r="14" spans="1:6" ht="27.75" customHeight="1" x14ac:dyDescent="0.3">
      <c r="A14" s="5" t="s">
        <v>256</v>
      </c>
      <c r="B14" s="12">
        <v>0.1</v>
      </c>
      <c r="C14" s="13">
        <v>4</v>
      </c>
      <c r="D14" s="14">
        <f>IFERROR(B14*C14,"-")</f>
        <v>0.4</v>
      </c>
      <c r="E14" s="15" t="s">
        <v>257</v>
      </c>
      <c r="F14" s="16" t="s">
        <v>258</v>
      </c>
    </row>
    <row r="15" spans="1:6" ht="27.75" customHeight="1" x14ac:dyDescent="0.3">
      <c r="A15" s="5" t="s">
        <v>259</v>
      </c>
      <c r="B15" s="12">
        <v>0.1</v>
      </c>
      <c r="C15" s="13">
        <v>4</v>
      </c>
      <c r="D15" s="14">
        <f t="shared" ref="D15:D17" si="1">IFERROR(B15*C15,"-")</f>
        <v>0.4</v>
      </c>
      <c r="E15" s="15" t="s">
        <v>260</v>
      </c>
      <c r="F15" s="16" t="s">
        <v>261</v>
      </c>
    </row>
    <row r="16" spans="1:6" ht="27.75" customHeight="1" x14ac:dyDescent="0.3">
      <c r="A16" s="5" t="s">
        <v>262</v>
      </c>
      <c r="B16" s="12">
        <v>0.05</v>
      </c>
      <c r="C16" s="13">
        <v>3</v>
      </c>
      <c r="D16" s="14">
        <f t="shared" si="1"/>
        <v>0.15000000000000002</v>
      </c>
      <c r="E16" s="15" t="s">
        <v>263</v>
      </c>
      <c r="F16" s="16" t="s">
        <v>264</v>
      </c>
    </row>
    <row r="17" spans="1:6" ht="27.75" customHeight="1" x14ac:dyDescent="0.3">
      <c r="A17" s="5" t="s">
        <v>265</v>
      </c>
      <c r="B17" s="12">
        <v>0.05</v>
      </c>
      <c r="C17" s="13">
        <v>4</v>
      </c>
      <c r="D17" s="14">
        <f t="shared" si="1"/>
        <v>0.2</v>
      </c>
      <c r="E17" s="15" t="s">
        <v>266</v>
      </c>
      <c r="F17" s="16" t="s">
        <v>267</v>
      </c>
    </row>
    <row r="18" spans="1:6" ht="15" customHeight="1" x14ac:dyDescent="0.3">
      <c r="A18" s="4"/>
      <c r="B18" s="4"/>
      <c r="C18" s="4"/>
      <c r="D18" s="4"/>
      <c r="E18" s="4"/>
      <c r="F18" s="4"/>
    </row>
    <row r="19" spans="1:6" ht="15" customHeight="1" x14ac:dyDescent="0.3">
      <c r="A19" s="87" t="s">
        <v>268</v>
      </c>
      <c r="B19" s="87"/>
      <c r="C19" s="87"/>
      <c r="D19" s="87"/>
      <c r="E19" s="87"/>
      <c r="F19" s="87"/>
    </row>
    <row r="20" spans="1:6" ht="30" customHeight="1" x14ac:dyDescent="0.3">
      <c r="A20" s="17" t="s">
        <v>269</v>
      </c>
      <c r="B20" s="4"/>
      <c r="C20" s="4"/>
      <c r="D20" s="18">
        <f>IFERROR(D5+D6+D7+D8+D9+D10+D11+D14+D15+D16+D17,"-")</f>
        <v>3.85</v>
      </c>
      <c r="E20" s="3" t="s">
        <v>270</v>
      </c>
      <c r="F20" s="4"/>
    </row>
    <row r="21" spans="1:6" ht="36" customHeight="1" x14ac:dyDescent="0.3">
      <c r="A21" s="17" t="s">
        <v>271</v>
      </c>
      <c r="B21" s="4"/>
      <c r="C21" s="4"/>
      <c r="D21" s="124" t="str">
        <f>IFERROR(IF(D20&gt;=3.5,"✅ GREEN — Approve Loan",IF(D20&gt;=2.5,"⚠ AMBER — Conditional Approval","🔴 RED — Decline / High Risk")),"-")</f>
        <v>✅ GREEN — Approve Loan</v>
      </c>
      <c r="E21" s="124"/>
      <c r="F21" s="124"/>
    </row>
    <row r="22" spans="1:6" ht="15" customHeight="1" x14ac:dyDescent="0.3">
      <c r="A22" s="4"/>
      <c r="B22" s="4"/>
      <c r="C22" s="4"/>
      <c r="D22" s="4"/>
      <c r="E22" s="4"/>
      <c r="F22" s="4"/>
    </row>
    <row r="23" spans="1:6" ht="15" customHeight="1" x14ac:dyDescent="0.3">
      <c r="A23" s="87" t="s">
        <v>272</v>
      </c>
      <c r="B23" s="87"/>
      <c r="C23" s="87"/>
      <c r="D23" s="87"/>
      <c r="E23" s="87"/>
      <c r="F23" s="87"/>
    </row>
    <row r="24" spans="1:6" ht="24" customHeight="1" x14ac:dyDescent="0.3">
      <c r="A24" s="9" t="s">
        <v>273</v>
      </c>
      <c r="B24" s="9" t="s">
        <v>274</v>
      </c>
      <c r="C24" s="125" t="s">
        <v>275</v>
      </c>
      <c r="D24" s="125"/>
      <c r="E24" s="125"/>
      <c r="F24" s="125"/>
    </row>
    <row r="25" spans="1:6" ht="24" customHeight="1" x14ac:dyDescent="0.3">
      <c r="A25" s="10" t="s">
        <v>276</v>
      </c>
      <c r="B25" s="10" t="s">
        <v>277</v>
      </c>
      <c r="C25" s="126" t="s">
        <v>278</v>
      </c>
      <c r="D25" s="126"/>
      <c r="E25" s="126"/>
      <c r="F25" s="126"/>
    </row>
    <row r="26" spans="1:6" ht="24" customHeight="1" x14ac:dyDescent="0.3">
      <c r="A26" s="11" t="s">
        <v>279</v>
      </c>
      <c r="B26" s="11" t="s">
        <v>280</v>
      </c>
      <c r="C26" s="127" t="s">
        <v>281</v>
      </c>
      <c r="D26" s="127"/>
      <c r="E26" s="127"/>
      <c r="F26" s="127"/>
    </row>
  </sheetData>
  <mergeCells count="10">
    <mergeCell ref="D21:F21"/>
    <mergeCell ref="A23:F23"/>
    <mergeCell ref="C24:F24"/>
    <mergeCell ref="C25:F25"/>
    <mergeCell ref="C26:F26"/>
    <mergeCell ref="A4:F4"/>
    <mergeCell ref="A13:F13"/>
    <mergeCell ref="A19:F19"/>
    <mergeCell ref="A2:F2"/>
    <mergeCell ref="A1:F1"/>
  </mergeCells>
  <conditionalFormatting sqref="D21:F21">
    <cfRule type="cellIs" dxfId="6" priority="1" operator="lessThan">
      <formula>2.5</formula>
    </cfRule>
    <cfRule type="cellIs" dxfId="5" priority="2" operator="between">
      <formula>2.5</formula>
      <formula>3.5</formula>
    </cfRule>
    <cfRule type="cellIs" dxfId="4" priority="3" operator="greaterThan">
      <formula>3.5</formula>
    </cfRule>
    <cfRule type="containsText" dxfId="3" priority="4" operator="containsText" text="Green">
      <formula>NOT(ISERROR(SEARCH("Green",D21)))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"/>
  <sheetViews>
    <sheetView showGridLines="0" zoomScale="81" zoomScaleNormal="81" workbookViewId="0">
      <selection activeCell="A2" sqref="A2:G2"/>
    </sheetView>
  </sheetViews>
  <sheetFormatPr defaultColWidth="8.6640625" defaultRowHeight="14.4" x14ac:dyDescent="0.3"/>
  <cols>
    <col min="1" max="1" width="32.44140625" bestFit="1" customWidth="1"/>
    <col min="2" max="2" width="35.6640625" bestFit="1" customWidth="1"/>
    <col min="3" max="3" width="36.33203125" bestFit="1" customWidth="1"/>
    <col min="4" max="4" width="35.88671875" bestFit="1" customWidth="1"/>
    <col min="5" max="5" width="45.109375" bestFit="1" customWidth="1"/>
    <col min="6" max="6" width="34.6640625" bestFit="1" customWidth="1"/>
    <col min="7" max="7" width="28.33203125" customWidth="1"/>
  </cols>
  <sheetData>
    <row r="1" spans="1:7" ht="27.75" customHeight="1" x14ac:dyDescent="0.3">
      <c r="A1" s="86" t="s">
        <v>407</v>
      </c>
      <c r="B1" s="86"/>
      <c r="C1" s="86"/>
      <c r="D1" s="86"/>
      <c r="E1" s="86"/>
      <c r="F1" s="86"/>
      <c r="G1" s="86"/>
    </row>
    <row r="2" spans="1:7" ht="36" customHeight="1" x14ac:dyDescent="0.3">
      <c r="A2" s="133" t="s">
        <v>414</v>
      </c>
      <c r="B2" s="133"/>
      <c r="C2" s="133"/>
      <c r="D2" s="133"/>
      <c r="E2" s="133"/>
      <c r="F2" s="133"/>
      <c r="G2" s="133"/>
    </row>
    <row r="3" spans="1:7" ht="30.6" customHeight="1" x14ac:dyDescent="0.3">
      <c r="A3" s="80" t="s">
        <v>282</v>
      </c>
      <c r="B3" s="81" t="s">
        <v>399</v>
      </c>
      <c r="C3" s="81" t="s">
        <v>400</v>
      </c>
      <c r="D3" s="81" t="s">
        <v>401</v>
      </c>
      <c r="E3" s="81" t="s">
        <v>402</v>
      </c>
      <c r="F3" s="81" t="s">
        <v>403</v>
      </c>
      <c r="G3" s="82" t="s">
        <v>283</v>
      </c>
    </row>
    <row r="4" spans="1:7" ht="21.75" customHeight="1" x14ac:dyDescent="0.3">
      <c r="A4" s="5" t="s">
        <v>284</v>
      </c>
      <c r="B4" s="19">
        <v>2524</v>
      </c>
      <c r="C4" s="19">
        <v>2843</v>
      </c>
      <c r="D4" s="19">
        <v>637</v>
      </c>
      <c r="E4" s="19">
        <v>2677</v>
      </c>
      <c r="F4" s="19">
        <v>524</v>
      </c>
      <c r="G4" s="20">
        <f>IFERROR(MIN(B4:F4),"-")</f>
        <v>524</v>
      </c>
    </row>
    <row r="5" spans="1:7" ht="21.75" customHeight="1" x14ac:dyDescent="0.3">
      <c r="A5" s="5" t="s">
        <v>371</v>
      </c>
      <c r="B5" s="21">
        <v>6.2E-2</v>
      </c>
      <c r="C5" s="21">
        <v>7.3700000000000002E-2</v>
      </c>
      <c r="D5" s="21">
        <v>0.12</v>
      </c>
      <c r="E5" s="21">
        <v>2.76E-2</v>
      </c>
      <c r="F5" s="21">
        <v>0.1124</v>
      </c>
      <c r="G5" s="22">
        <f>IFERROR(MAX(B5:F5),"-")</f>
        <v>0.12</v>
      </c>
    </row>
    <row r="6" spans="1:7" ht="21.75" customHeight="1" x14ac:dyDescent="0.3">
      <c r="A6" s="5" t="s">
        <v>285</v>
      </c>
      <c r="B6" s="21">
        <v>0.1147</v>
      </c>
      <c r="C6" s="21">
        <v>0.08</v>
      </c>
      <c r="D6" s="21">
        <v>6.1899999999999997E-2</v>
      </c>
      <c r="E6" s="21">
        <v>0.02</v>
      </c>
      <c r="F6" s="21">
        <v>1.4E-2</v>
      </c>
      <c r="G6" s="22">
        <f>IFERROR(MAX(B6:F6),"-")</f>
        <v>0.1147</v>
      </c>
    </row>
    <row r="7" spans="1:7" ht="21.75" customHeight="1" x14ac:dyDescent="0.3">
      <c r="A7" s="5" t="s">
        <v>370</v>
      </c>
      <c r="B7" s="21">
        <v>5.9299999999999999E-2</v>
      </c>
      <c r="C7" s="21">
        <v>1.3599999999999999E-2</v>
      </c>
      <c r="D7" s="21">
        <v>2.6499999999999999E-2</v>
      </c>
      <c r="E7" s="21">
        <v>4.1000000000000002E-2</v>
      </c>
      <c r="F7" s="21">
        <v>2.6599999999999999E-2</v>
      </c>
      <c r="G7" s="22">
        <f>IFERROR(MAX(B7:F7),"-")</f>
        <v>5.9299999999999999E-2</v>
      </c>
    </row>
    <row r="8" spans="1:7" ht="21.75" customHeight="1" x14ac:dyDescent="0.3">
      <c r="A8" s="5" t="s">
        <v>104</v>
      </c>
      <c r="B8" s="23">
        <v>2.63</v>
      </c>
      <c r="C8" s="23">
        <v>1.2</v>
      </c>
      <c r="D8" s="23">
        <v>1.57</v>
      </c>
      <c r="E8" s="23">
        <v>1.22</v>
      </c>
      <c r="F8" s="23">
        <v>1.54</v>
      </c>
      <c r="G8" s="24">
        <f>IFERROR(MAX(B8:F8),"-")</f>
        <v>2.63</v>
      </c>
    </row>
    <row r="9" spans="1:7" ht="21.75" customHeight="1" x14ac:dyDescent="0.3">
      <c r="A9" s="5" t="s">
        <v>245</v>
      </c>
      <c r="B9" s="23">
        <v>0.57999999999999996</v>
      </c>
      <c r="C9" s="23">
        <v>1.1299999999999999</v>
      </c>
      <c r="D9" s="23">
        <v>0.73</v>
      </c>
      <c r="E9" s="23">
        <v>0.98</v>
      </c>
      <c r="F9" s="23">
        <v>0.16</v>
      </c>
      <c r="G9" s="24">
        <f>IFERROR(MIN(B9:F9),"-")</f>
        <v>0.16</v>
      </c>
    </row>
    <row r="10" spans="1:7" ht="21.75" customHeight="1" x14ac:dyDescent="0.3">
      <c r="A10" s="5" t="s">
        <v>253</v>
      </c>
      <c r="B10" s="23">
        <f>204/54</f>
        <v>3.7777777777777777</v>
      </c>
      <c r="C10" s="23">
        <v>2.75</v>
      </c>
      <c r="D10" s="23">
        <v>2.95</v>
      </c>
      <c r="E10" s="23">
        <v>1.02</v>
      </c>
      <c r="F10" s="23">
        <f>-10/3.76</f>
        <v>-2.6595744680851063</v>
      </c>
      <c r="G10" s="24">
        <f>IFERROR(MAX(B10:F10),"-")</f>
        <v>3.7777777777777777</v>
      </c>
    </row>
    <row r="11" spans="1:7" ht="21.75" customHeight="1" x14ac:dyDescent="0.3">
      <c r="A11" s="5" t="s">
        <v>154</v>
      </c>
      <c r="B11" s="23">
        <v>0.87</v>
      </c>
      <c r="C11" s="23">
        <f>5084/(9468+9716)</f>
        <v>0.26501251042535445</v>
      </c>
      <c r="D11" s="23">
        <f>25/(37.37+13.41)</f>
        <v>0.49231981094919258</v>
      </c>
      <c r="E11" s="23">
        <f>(-47+111.21)/211</f>
        <v>0.3043127962085308</v>
      </c>
      <c r="F11" s="23">
        <f>5/212</f>
        <v>2.358490566037736E-2</v>
      </c>
      <c r="G11" s="24">
        <f>IFERROR(MAX(B11:F11),"-")</f>
        <v>0.87</v>
      </c>
    </row>
    <row r="12" spans="1:7" ht="21.75" customHeight="1" x14ac:dyDescent="0.3">
      <c r="A12" s="5" t="s">
        <v>286</v>
      </c>
      <c r="B12" s="21">
        <v>0.1086</v>
      </c>
      <c r="C12" s="21">
        <v>3.15E-2</v>
      </c>
      <c r="D12" s="21">
        <v>8.3400000000000002E-2</v>
      </c>
      <c r="E12" s="21">
        <v>7.6399999999999996E-2</v>
      </c>
      <c r="F12" s="21">
        <v>4.5199999999999997E-2</v>
      </c>
      <c r="G12" s="22">
        <f>IFERROR(MAX(B12:F12),"-")</f>
        <v>0.1086</v>
      </c>
    </row>
    <row r="13" spans="1:7" ht="21.75" customHeight="1" x14ac:dyDescent="0.3">
      <c r="A13" s="5" t="s">
        <v>15</v>
      </c>
      <c r="B13" s="23">
        <f>C37</f>
        <v>3.4440563380281688</v>
      </c>
      <c r="C13" s="23">
        <f t="shared" ref="C13:F13" si="0">D37</f>
        <v>2.0811613230691144</v>
      </c>
      <c r="D13" s="23">
        <f t="shared" si="0"/>
        <v>3.6113377926421406</v>
      </c>
      <c r="E13" s="23">
        <f t="shared" si="0"/>
        <v>2.1755630740430183</v>
      </c>
      <c r="F13" s="23">
        <f t="shared" si="0"/>
        <v>5.4072072072072075</v>
      </c>
      <c r="G13" s="24">
        <f>IFERROR(MAX(B13:F13),"-")</f>
        <v>5.4072072072072075</v>
      </c>
    </row>
    <row r="14" spans="1:7" ht="20.399999999999999" customHeight="1" x14ac:dyDescent="0.3">
      <c r="A14" s="4" t="s">
        <v>406</v>
      </c>
      <c r="B14" s="23">
        <f>IFERROR((RANK(B13,$B$13:$F$13,0)*0.4)+(RANK(B11,$B$11:$F$11,0)*0.3)+(RANK(B6,$B$6:$F$6,0)*0.3),"")</f>
        <v>1.8000000000000003</v>
      </c>
      <c r="C14" s="23">
        <f t="shared" ref="C14:G14" si="1">IFERROR((RANK(C13,$B$13:$F$13,0)*0.4)+(RANK(C11,$B$11:$F$11,0)*0.3)+(RANK(C6,$B$6:$F$6,0)*0.3),"")</f>
        <v>3.8000000000000003</v>
      </c>
      <c r="D14" s="23">
        <f t="shared" si="1"/>
        <v>2.2999999999999998</v>
      </c>
      <c r="E14" s="23">
        <f t="shared" si="1"/>
        <v>3.7</v>
      </c>
      <c r="F14" s="23">
        <f t="shared" si="1"/>
        <v>3.4</v>
      </c>
      <c r="G14" s="24">
        <f t="shared" si="1"/>
        <v>1</v>
      </c>
    </row>
    <row r="15" spans="1:7" ht="15" customHeight="1" x14ac:dyDescent="0.3">
      <c r="A15" s="87" t="s">
        <v>287</v>
      </c>
      <c r="B15" s="87"/>
      <c r="C15" s="87"/>
      <c r="D15" s="87"/>
      <c r="E15" s="87"/>
      <c r="F15" s="87"/>
      <c r="G15" s="87"/>
    </row>
    <row r="16" spans="1:7" ht="40.200000000000003" customHeight="1" x14ac:dyDescent="0.3">
      <c r="A16" s="25" t="s">
        <v>288</v>
      </c>
      <c r="B16" s="128">
        <f>IFERROR(RANK(B14,$B$14:$F$14,1),"")</f>
        <v>1</v>
      </c>
      <c r="C16" s="128">
        <f t="shared" ref="C16:F16" si="2">IFERROR(RANK(C14,$B$14:$F$14,1),"")</f>
        <v>5</v>
      </c>
      <c r="D16" s="128">
        <f t="shared" si="2"/>
        <v>2</v>
      </c>
      <c r="E16" s="128">
        <f t="shared" si="2"/>
        <v>4</v>
      </c>
      <c r="F16" s="128">
        <f t="shared" si="2"/>
        <v>3</v>
      </c>
      <c r="G16" s="26"/>
    </row>
    <row r="18" spans="1:7" x14ac:dyDescent="0.3">
      <c r="G18" s="129"/>
    </row>
    <row r="19" spans="1:7" ht="27.75" customHeight="1" x14ac:dyDescent="0.3">
      <c r="A19" s="88" t="s">
        <v>289</v>
      </c>
      <c r="B19" s="88"/>
      <c r="C19" s="88"/>
      <c r="D19" s="88"/>
      <c r="E19" s="88"/>
      <c r="F19" s="88"/>
      <c r="G19" s="88"/>
    </row>
    <row r="20" spans="1:7" ht="21.75" customHeight="1" x14ac:dyDescent="0.3">
      <c r="A20" s="89" t="s">
        <v>290</v>
      </c>
      <c r="B20" s="89"/>
      <c r="C20" s="89"/>
      <c r="D20" s="89"/>
      <c r="E20" s="89"/>
      <c r="F20" s="89"/>
      <c r="G20" s="89"/>
    </row>
    <row r="21" spans="1:7" ht="21.75" customHeight="1" x14ac:dyDescent="0.3">
      <c r="A21" s="74" t="s">
        <v>291</v>
      </c>
      <c r="B21" s="75" t="s">
        <v>100</v>
      </c>
      <c r="C21" s="75" t="s">
        <v>399</v>
      </c>
      <c r="D21" s="75" t="s">
        <v>400</v>
      </c>
      <c r="E21" s="75" t="s">
        <v>401</v>
      </c>
      <c r="F21" s="75" t="s">
        <v>402</v>
      </c>
      <c r="G21" s="75" t="s">
        <v>403</v>
      </c>
    </row>
    <row r="22" spans="1:7" ht="15.6" x14ac:dyDescent="0.3">
      <c r="A22" s="88" t="s">
        <v>292</v>
      </c>
      <c r="B22" s="88"/>
      <c r="C22" s="88"/>
      <c r="D22" s="88"/>
      <c r="E22" s="88"/>
      <c r="F22" s="88"/>
      <c r="G22" s="88"/>
    </row>
    <row r="23" spans="1:7" ht="19.5" customHeight="1" x14ac:dyDescent="0.3">
      <c r="A23" s="5" t="s">
        <v>83</v>
      </c>
      <c r="B23" s="15" t="s">
        <v>293</v>
      </c>
      <c r="C23" s="41">
        <f>984-374</f>
        <v>610</v>
      </c>
      <c r="D23" s="41">
        <f>1385.7-1159.4</f>
        <v>226.29999999999995</v>
      </c>
      <c r="E23" s="41">
        <v>58.85</v>
      </c>
      <c r="F23" s="41">
        <f>988.79-809.35</f>
        <v>179.43999999999994</v>
      </c>
      <c r="G23" s="41">
        <f>149-107</f>
        <v>42</v>
      </c>
    </row>
    <row r="24" spans="1:7" ht="19.5" customHeight="1" x14ac:dyDescent="0.3">
      <c r="A24" s="5" t="s">
        <v>81</v>
      </c>
      <c r="B24" s="15" t="s">
        <v>294</v>
      </c>
      <c r="C24" s="41">
        <v>1775</v>
      </c>
      <c r="D24" s="41">
        <f>2955.25</f>
        <v>2955.25</v>
      </c>
      <c r="E24" s="41">
        <v>299</v>
      </c>
      <c r="F24" s="41">
        <v>2051.2399999999998</v>
      </c>
      <c r="G24" s="41">
        <v>333</v>
      </c>
    </row>
    <row r="25" spans="1:7" ht="19.5" customHeight="1" x14ac:dyDescent="0.3">
      <c r="A25" s="5" t="s">
        <v>85</v>
      </c>
      <c r="B25" s="15" t="s">
        <v>86</v>
      </c>
      <c r="C25" s="41">
        <v>993</v>
      </c>
      <c r="D25" s="41">
        <f>956.53</f>
        <v>956.53</v>
      </c>
      <c r="E25" s="41">
        <v>138.55000000000001</v>
      </c>
      <c r="F25" s="41">
        <v>878.41</v>
      </c>
      <c r="G25" s="41">
        <v>218</v>
      </c>
    </row>
    <row r="26" spans="1:7" ht="19.5" customHeight="1" x14ac:dyDescent="0.3">
      <c r="A26" s="5" t="s">
        <v>42</v>
      </c>
      <c r="B26" s="15" t="s">
        <v>295</v>
      </c>
      <c r="C26" s="41">
        <v>204</v>
      </c>
      <c r="D26" s="41">
        <f>131</f>
        <v>131</v>
      </c>
      <c r="E26" s="41">
        <v>30</v>
      </c>
      <c r="F26" s="41">
        <f>-47</f>
        <v>-47</v>
      </c>
      <c r="G26" s="41">
        <v>-10</v>
      </c>
    </row>
    <row r="27" spans="1:7" ht="19.5" customHeight="1" x14ac:dyDescent="0.3">
      <c r="A27" s="5" t="s">
        <v>65</v>
      </c>
      <c r="B27" s="15" t="s">
        <v>296</v>
      </c>
      <c r="C27" s="41">
        <v>1775</v>
      </c>
      <c r="D27" s="41">
        <f>2955.25</f>
        <v>2955.25</v>
      </c>
      <c r="E27" s="41">
        <v>299</v>
      </c>
      <c r="F27" s="41">
        <v>2051.2399999999998</v>
      </c>
      <c r="G27" s="41">
        <v>333</v>
      </c>
    </row>
    <row r="28" spans="1:7" ht="19.5" customHeight="1" x14ac:dyDescent="0.3">
      <c r="A28" s="5" t="s">
        <v>297</v>
      </c>
      <c r="B28" s="15" t="s">
        <v>298</v>
      </c>
      <c r="C28" s="41">
        <v>2524</v>
      </c>
      <c r="D28" s="41">
        <f>2856.95</f>
        <v>2856.95</v>
      </c>
      <c r="E28" s="41">
        <f>637</f>
        <v>637</v>
      </c>
      <c r="F28" s="41">
        <v>2677</v>
      </c>
      <c r="G28" s="41">
        <v>524</v>
      </c>
    </row>
    <row r="29" spans="1:7" ht="19.5" customHeight="1" x14ac:dyDescent="0.3">
      <c r="A29" s="5" t="s">
        <v>87</v>
      </c>
      <c r="B29" s="15" t="s">
        <v>299</v>
      </c>
      <c r="C29" s="41">
        <v>1323</v>
      </c>
      <c r="D29" s="41">
        <v>2084</v>
      </c>
      <c r="E29" s="41">
        <v>132</v>
      </c>
      <c r="F29" s="41">
        <v>826</v>
      </c>
      <c r="G29" s="41">
        <v>1590</v>
      </c>
    </row>
    <row r="30" spans="1:7" ht="15.6" x14ac:dyDescent="0.3">
      <c r="A30" s="88" t="s">
        <v>300</v>
      </c>
      <c r="B30" s="88"/>
      <c r="C30" s="88"/>
      <c r="D30" s="88"/>
      <c r="E30" s="88"/>
      <c r="F30" s="88"/>
      <c r="G30" s="88"/>
    </row>
    <row r="31" spans="1:7" ht="21.75" customHeight="1" x14ac:dyDescent="0.3">
      <c r="A31" s="27" t="s">
        <v>301</v>
      </c>
      <c r="B31" s="15" t="s">
        <v>191</v>
      </c>
      <c r="C31" s="28">
        <f>IFERROR(C23/C24,"-")</f>
        <v>0.3436619718309859</v>
      </c>
      <c r="D31" s="28">
        <f t="shared" ref="D31:G31" si="3">IFERROR(D23/D24,"-")</f>
        <v>7.6575585821842471E-2</v>
      </c>
      <c r="E31" s="28">
        <f t="shared" si="3"/>
        <v>0.19682274247491638</v>
      </c>
      <c r="F31" s="28">
        <f t="shared" si="3"/>
        <v>8.747879331526294E-2</v>
      </c>
      <c r="G31" s="28">
        <f t="shared" si="3"/>
        <v>0.12612612612612611</v>
      </c>
    </row>
    <row r="32" spans="1:7" ht="21.75" customHeight="1" x14ac:dyDescent="0.3">
      <c r="A32" s="27" t="s">
        <v>302</v>
      </c>
      <c r="B32" s="15" t="s">
        <v>194</v>
      </c>
      <c r="C32" s="28">
        <f>IFERROR(C25/C24,"-")</f>
        <v>0.55943661971830982</v>
      </c>
      <c r="D32" s="28">
        <f t="shared" ref="D32:G32" si="4">IFERROR(D25/D24,"-")</f>
        <v>0.32367143219693767</v>
      </c>
      <c r="E32" s="28">
        <f t="shared" si="4"/>
        <v>0.46337792642140474</v>
      </c>
      <c r="F32" s="28">
        <f t="shared" si="4"/>
        <v>0.42823365378990275</v>
      </c>
      <c r="G32" s="28">
        <f t="shared" si="4"/>
        <v>0.65465465465465467</v>
      </c>
    </row>
    <row r="33" spans="1:7" ht="21.75" customHeight="1" x14ac:dyDescent="0.3">
      <c r="A33" s="27" t="s">
        <v>303</v>
      </c>
      <c r="B33" s="15" t="s">
        <v>197</v>
      </c>
      <c r="C33" s="28">
        <f>IFERROR(C26/C24,"-")</f>
        <v>0.11492957746478873</v>
      </c>
      <c r="D33" s="28">
        <f t="shared" ref="D33:G33" si="5">IFERROR(D26/D24,"-")</f>
        <v>4.4327891041367057E-2</v>
      </c>
      <c r="E33" s="28">
        <f t="shared" si="5"/>
        <v>0.10033444816053512</v>
      </c>
      <c r="F33" s="28">
        <f t="shared" si="5"/>
        <v>-2.2912969715879177E-2</v>
      </c>
      <c r="G33" s="28">
        <f t="shared" si="5"/>
        <v>-3.003003003003003E-2</v>
      </c>
    </row>
    <row r="34" spans="1:7" ht="21.75" customHeight="1" x14ac:dyDescent="0.3">
      <c r="A34" s="27" t="s">
        <v>304</v>
      </c>
      <c r="B34" s="15" t="s">
        <v>305</v>
      </c>
      <c r="C34" s="28">
        <f>IFERROR(C29/C27,"-")</f>
        <v>0.74535211267605639</v>
      </c>
      <c r="D34" s="28">
        <f t="shared" ref="D34:G34" si="6">IFERROR(D29/D27,"-")</f>
        <v>0.70518568649014468</v>
      </c>
      <c r="E34" s="28">
        <f t="shared" si="6"/>
        <v>0.4414715719063545</v>
      </c>
      <c r="F34" s="28">
        <f t="shared" si="6"/>
        <v>0.40268325500672769</v>
      </c>
      <c r="G34" s="28">
        <f t="shared" si="6"/>
        <v>4.7747747747747749</v>
      </c>
    </row>
    <row r="35" spans="1:7" ht="21.75" customHeight="1" x14ac:dyDescent="0.3">
      <c r="A35" s="27" t="s">
        <v>306</v>
      </c>
      <c r="B35" s="15" t="s">
        <v>172</v>
      </c>
      <c r="C35" s="28">
        <f>IFERROR(C28/C24,"-")</f>
        <v>1.4219718309859155</v>
      </c>
      <c r="D35" s="28">
        <f t="shared" ref="D35:G35" si="7">IFERROR(D28/D24,"-")</f>
        <v>0.96673716267659249</v>
      </c>
      <c r="E35" s="28">
        <f t="shared" si="7"/>
        <v>2.1304347826086958</v>
      </c>
      <c r="F35" s="28">
        <f t="shared" si="7"/>
        <v>1.3050642538172035</v>
      </c>
      <c r="G35" s="28">
        <f t="shared" si="7"/>
        <v>1.5735735735735736</v>
      </c>
    </row>
    <row r="36" spans="1:7" ht="15.6" x14ac:dyDescent="0.3">
      <c r="A36" s="88" t="s">
        <v>307</v>
      </c>
      <c r="B36" s="88"/>
      <c r="C36" s="88"/>
      <c r="D36" s="88"/>
      <c r="E36" s="88"/>
      <c r="F36" s="88"/>
      <c r="G36" s="88"/>
    </row>
    <row r="37" spans="1:7" ht="27.75" customHeight="1" x14ac:dyDescent="0.3">
      <c r="A37" s="83" t="s">
        <v>15</v>
      </c>
      <c r="B37" s="29" t="s">
        <v>308</v>
      </c>
      <c r="C37" s="7">
        <f>IFERROR(1.2*C31+1.4*C32+3.3*C33+0.6*C34+1*C35,"-")</f>
        <v>3.4440563380281688</v>
      </c>
      <c r="D37" s="7">
        <f>IFERROR(1.2*D31+1.4*D32+3.3*D33+0.6*D34+1*D35,"-")</f>
        <v>2.0811613230691144</v>
      </c>
      <c r="E37" s="7">
        <f>IFERROR(1.2*E31+1.4*E32+3.3*E33+0.6*E34+1*E35,"-")</f>
        <v>3.6113377926421406</v>
      </c>
      <c r="F37" s="7">
        <f>IFERROR(1.2*F31+1.4*F32+3.3*F33+0.6*F34+1*F35,"-")</f>
        <v>2.1755630740430183</v>
      </c>
      <c r="G37" s="7">
        <f>IFERROR(1.2*G31+1.4*G32+3.3*G33+0.6*G34+1*G35,"-")</f>
        <v>5.4072072072072075</v>
      </c>
    </row>
    <row r="38" spans="1:7" ht="25.5" customHeight="1" x14ac:dyDescent="0.3">
      <c r="A38" s="84" t="s">
        <v>222</v>
      </c>
      <c r="B38" s="3" t="s">
        <v>309</v>
      </c>
      <c r="C38" s="30" t="str">
        <f>IFERROR(IF(C37&gt;2.99,"✅ Safe",IF(C37&gt;=1.81,"⚠ Grey","🔴 Distress")),"-")</f>
        <v>✅ Safe</v>
      </c>
      <c r="D38" s="30" t="str">
        <f>IFERROR(IF(D37&gt;2.99,"✅ Safe",IF(D37&gt;=1.81,"⚠ Grey","🔴 Distress")),"-")</f>
        <v>⚠ Grey</v>
      </c>
      <c r="E38" s="30" t="str">
        <f>IFERROR(IF(E37&gt;2.99,"✅ Safe",IF(E37&gt;=1.81,"⚠ Grey","🔴 Distress")),"-")</f>
        <v>✅ Safe</v>
      </c>
      <c r="F38" s="30" t="str">
        <f>IFERROR(IF(F37&gt;2.99,"✅ Safe",IF(F37&gt;=1.81,"⚠ Grey","🔴 Distress")),"-")</f>
        <v>⚠ Grey</v>
      </c>
      <c r="G38" s="30" t="str">
        <f>IFERROR(IF(G37&gt;2.99,"✅ Safe",IF(G37&gt;=1.81,"⚠ Grey","🔴 Distress")),"-")</f>
        <v>✅ Safe</v>
      </c>
    </row>
    <row r="39" spans="1:7" x14ac:dyDescent="0.3">
      <c r="A39" s="4"/>
      <c r="B39" s="4"/>
      <c r="C39" s="4"/>
      <c r="D39" s="4"/>
      <c r="E39" s="4"/>
      <c r="F39" s="4"/>
      <c r="G39" s="4"/>
    </row>
    <row r="40" spans="1:7" ht="15.6" x14ac:dyDescent="0.3">
      <c r="A40" s="88" t="s">
        <v>310</v>
      </c>
      <c r="B40" s="88"/>
      <c r="C40" s="88"/>
      <c r="D40" s="88"/>
      <c r="E40" s="88"/>
      <c r="F40" s="88"/>
      <c r="G40" s="88"/>
    </row>
    <row r="41" spans="1:7" ht="21.75" customHeight="1" x14ac:dyDescent="0.3">
      <c r="A41" s="31" t="s">
        <v>225</v>
      </c>
      <c r="B41" s="31" t="s">
        <v>226</v>
      </c>
      <c r="C41" s="92" t="s">
        <v>311</v>
      </c>
      <c r="D41" s="92"/>
      <c r="E41" s="92"/>
      <c r="F41" s="92"/>
      <c r="G41" s="92"/>
    </row>
    <row r="42" spans="1:7" ht="21.75" customHeight="1" x14ac:dyDescent="0.3">
      <c r="A42" s="32" t="s">
        <v>312</v>
      </c>
      <c r="B42" s="32" t="s">
        <v>229</v>
      </c>
      <c r="C42" s="90" t="s">
        <v>313</v>
      </c>
      <c r="D42" s="90"/>
      <c r="E42" s="90"/>
      <c r="F42" s="90"/>
      <c r="G42" s="90"/>
    </row>
    <row r="43" spans="1:7" ht="21.75" customHeight="1" x14ac:dyDescent="0.3">
      <c r="A43" s="33" t="s">
        <v>231</v>
      </c>
      <c r="B43" s="33" t="s">
        <v>314</v>
      </c>
      <c r="C43" s="91" t="s">
        <v>315</v>
      </c>
      <c r="D43" s="91"/>
      <c r="E43" s="91"/>
      <c r="F43" s="91"/>
      <c r="G43" s="91"/>
    </row>
  </sheetData>
  <mergeCells count="12">
    <mergeCell ref="C42:G42"/>
    <mergeCell ref="C43:G43"/>
    <mergeCell ref="A22:G22"/>
    <mergeCell ref="A30:G30"/>
    <mergeCell ref="A36:G36"/>
    <mergeCell ref="A40:G40"/>
    <mergeCell ref="C41:G41"/>
    <mergeCell ref="A1:G1"/>
    <mergeCell ref="A2:G2"/>
    <mergeCell ref="A15:G15"/>
    <mergeCell ref="A19:G19"/>
    <mergeCell ref="A20:G20"/>
  </mergeCells>
  <conditionalFormatting sqref="B16:F16">
    <cfRule type="colorScale" priority="4">
      <colorScale>
        <cfvo type="min"/>
        <cfvo type="max"/>
        <color rgb="FF31FC2C"/>
        <color rgb="FFBBE4B8"/>
      </colorScale>
    </cfRule>
    <cfRule type="colorScale" priority="3">
      <colorScale>
        <cfvo type="min"/>
        <cfvo type="max"/>
        <color theme="6" tint="-0.249977111117893"/>
        <color theme="6" tint="0.59999389629810485"/>
      </colorScale>
    </cfRule>
  </conditionalFormatting>
  <conditionalFormatting sqref="C38:G38">
    <cfRule type="containsText" dxfId="0" priority="2" operator="containsText" text="Safe">
      <formula>NOT(ISERROR(SEARCH("Safe",C38)))</formula>
    </cfRule>
    <cfRule type="containsText" dxfId="1" priority="1" operator="containsText" text="Grey">
      <formula>NOT(ISERROR(SEARCH("Grey",C38)))</formula>
    </cfRule>
  </conditionalFormatting>
  <pageMargins left="0.75" right="0.75" top="1" bottom="1" header="0.511811023622047" footer="0.511811023622047"/>
  <pageSetup paperSize="9" orientation="portrait" horizontalDpi="300" verticalDpi="300"/>
  <ignoredErrors>
    <ignoredError sqref="G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86B6-1035-48B9-A81A-0C7F297B1E5D}">
  <dimension ref="B2:T88"/>
  <sheetViews>
    <sheetView zoomScale="91" zoomScaleNormal="91" workbookViewId="0">
      <selection activeCell="H4" sqref="H4"/>
    </sheetView>
  </sheetViews>
  <sheetFormatPr defaultRowHeight="14.4" x14ac:dyDescent="0.3"/>
  <cols>
    <col min="2" max="2" width="35.6640625" bestFit="1" customWidth="1"/>
    <col min="7" max="7" width="10" customWidth="1"/>
  </cols>
  <sheetData>
    <row r="2" spans="2:7" x14ac:dyDescent="0.3">
      <c r="B2" s="85" t="s">
        <v>404</v>
      </c>
      <c r="C2" s="85"/>
      <c r="D2" s="85"/>
      <c r="E2" s="85"/>
      <c r="F2" s="85"/>
      <c r="G2" s="85"/>
    </row>
    <row r="3" spans="2:7" x14ac:dyDescent="0.3">
      <c r="B3" s="85" t="s">
        <v>27</v>
      </c>
      <c r="C3" s="85" t="s">
        <v>29</v>
      </c>
      <c r="D3" s="85" t="s">
        <v>30</v>
      </c>
      <c r="E3" s="85" t="s">
        <v>31</v>
      </c>
      <c r="F3" s="85" t="s">
        <v>32</v>
      </c>
      <c r="G3" s="85" t="s">
        <v>33</v>
      </c>
    </row>
    <row r="4" spans="2:7" x14ac:dyDescent="0.3">
      <c r="B4" s="34" t="s">
        <v>318</v>
      </c>
      <c r="C4" s="34"/>
      <c r="D4" s="34"/>
      <c r="E4" s="34"/>
      <c r="F4" s="34"/>
      <c r="G4" s="34"/>
    </row>
    <row r="5" spans="2:7" x14ac:dyDescent="0.3">
      <c r="B5" t="s">
        <v>319</v>
      </c>
      <c r="C5" s="35">
        <v>1622</v>
      </c>
      <c r="D5" s="35">
        <v>2690</v>
      </c>
      <c r="E5" s="35">
        <v>2404</v>
      </c>
      <c r="F5" s="35">
        <v>2902</v>
      </c>
      <c r="G5" s="35">
        <v>3300</v>
      </c>
    </row>
    <row r="6" spans="2:7" x14ac:dyDescent="0.3">
      <c r="B6" t="s">
        <v>339</v>
      </c>
      <c r="C6" s="35">
        <v>1365</v>
      </c>
      <c r="D6" s="35">
        <v>2039</v>
      </c>
      <c r="E6" s="35">
        <v>2107</v>
      </c>
      <c r="F6" s="35">
        <v>2525</v>
      </c>
      <c r="G6" s="35">
        <v>2829</v>
      </c>
    </row>
    <row r="7" spans="2:7" x14ac:dyDescent="0.3">
      <c r="B7" t="s">
        <v>320</v>
      </c>
      <c r="C7">
        <v>257</v>
      </c>
      <c r="D7">
        <v>652</v>
      </c>
      <c r="E7">
        <v>297</v>
      </c>
      <c r="F7">
        <v>377</v>
      </c>
      <c r="G7">
        <v>471</v>
      </c>
    </row>
    <row r="8" spans="2:7" x14ac:dyDescent="0.3">
      <c r="B8" t="s">
        <v>321</v>
      </c>
      <c r="C8" s="36">
        <v>0.16</v>
      </c>
      <c r="D8" s="36">
        <v>0.24</v>
      </c>
      <c r="E8" s="36">
        <v>0.12</v>
      </c>
      <c r="F8" s="36">
        <v>0.13</v>
      </c>
      <c r="G8" s="36">
        <v>0.14000000000000001</v>
      </c>
    </row>
    <row r="9" spans="2:7" x14ac:dyDescent="0.3">
      <c r="B9" t="s">
        <v>322</v>
      </c>
      <c r="C9">
        <v>2</v>
      </c>
      <c r="D9">
        <v>-3</v>
      </c>
      <c r="E9">
        <v>3</v>
      </c>
      <c r="F9">
        <v>2</v>
      </c>
      <c r="G9">
        <v>4</v>
      </c>
    </row>
    <row r="10" spans="2:7" x14ac:dyDescent="0.3">
      <c r="B10" t="s">
        <v>323</v>
      </c>
      <c r="C10">
        <v>62</v>
      </c>
      <c r="D10">
        <v>55</v>
      </c>
      <c r="E10">
        <v>38</v>
      </c>
      <c r="F10">
        <v>83</v>
      </c>
      <c r="G10">
        <v>90</v>
      </c>
    </row>
    <row r="11" spans="2:7" x14ac:dyDescent="0.3">
      <c r="B11" t="s">
        <v>41</v>
      </c>
      <c r="C11">
        <v>91</v>
      </c>
      <c r="D11">
        <v>87</v>
      </c>
      <c r="E11">
        <v>87</v>
      </c>
      <c r="F11">
        <v>118</v>
      </c>
      <c r="G11">
        <v>148</v>
      </c>
    </row>
    <row r="12" spans="2:7" x14ac:dyDescent="0.3">
      <c r="B12" t="s">
        <v>324</v>
      </c>
      <c r="C12">
        <v>107</v>
      </c>
      <c r="D12">
        <v>506</v>
      </c>
      <c r="E12">
        <v>176</v>
      </c>
      <c r="F12">
        <v>178</v>
      </c>
      <c r="G12">
        <v>237</v>
      </c>
    </row>
    <row r="13" spans="2:7" x14ac:dyDescent="0.3">
      <c r="B13" t="s">
        <v>325</v>
      </c>
      <c r="C13" s="36">
        <v>0.35</v>
      </c>
      <c r="D13" s="36">
        <v>0.36</v>
      </c>
      <c r="E13" s="36">
        <v>0.06</v>
      </c>
      <c r="F13" s="36">
        <v>0.26</v>
      </c>
      <c r="G13" s="36">
        <v>0.26</v>
      </c>
    </row>
    <row r="14" spans="2:7" x14ac:dyDescent="0.3">
      <c r="B14" t="s">
        <v>326</v>
      </c>
      <c r="C14">
        <v>69</v>
      </c>
      <c r="D14">
        <v>326</v>
      </c>
      <c r="E14">
        <v>165</v>
      </c>
      <c r="F14">
        <v>132</v>
      </c>
      <c r="G14">
        <v>175</v>
      </c>
    </row>
    <row r="15" spans="2:7" x14ac:dyDescent="0.3">
      <c r="B15" t="s">
        <v>327</v>
      </c>
      <c r="C15">
        <v>12.25</v>
      </c>
      <c r="D15">
        <v>58.01</v>
      </c>
      <c r="E15">
        <v>29.32</v>
      </c>
      <c r="F15">
        <v>23.39</v>
      </c>
      <c r="G15">
        <v>31.2</v>
      </c>
    </row>
    <row r="16" spans="2:7" x14ac:dyDescent="0.3">
      <c r="B16" t="s">
        <v>328</v>
      </c>
      <c r="C16" s="36">
        <v>0.12</v>
      </c>
      <c r="D16" s="36">
        <v>0.04</v>
      </c>
      <c r="E16" s="36">
        <v>0.09</v>
      </c>
      <c r="F16" s="36">
        <v>0.11</v>
      </c>
      <c r="G16" s="36">
        <v>0.1</v>
      </c>
    </row>
    <row r="17" spans="2:7" x14ac:dyDescent="0.3">
      <c r="B17" s="34" t="s">
        <v>329</v>
      </c>
      <c r="C17" s="34"/>
      <c r="D17" s="34"/>
      <c r="E17" s="34"/>
      <c r="F17" s="34"/>
      <c r="G17" s="34"/>
    </row>
    <row r="18" spans="2:7" x14ac:dyDescent="0.3">
      <c r="B18" t="s">
        <v>330</v>
      </c>
      <c r="C18">
        <v>56</v>
      </c>
      <c r="D18">
        <v>56</v>
      </c>
      <c r="E18">
        <v>56</v>
      </c>
      <c r="F18">
        <v>56</v>
      </c>
      <c r="G18">
        <v>56</v>
      </c>
    </row>
    <row r="19" spans="2:7" x14ac:dyDescent="0.3">
      <c r="B19" t="s">
        <v>54</v>
      </c>
      <c r="C19">
        <v>507</v>
      </c>
      <c r="D19">
        <v>820</v>
      </c>
      <c r="E19">
        <v>973</v>
      </c>
      <c r="F19" s="35">
        <v>1090</v>
      </c>
      <c r="G19" s="35">
        <v>1255</v>
      </c>
    </row>
    <row r="20" spans="2:7" x14ac:dyDescent="0.3">
      <c r="B20" t="s">
        <v>366</v>
      </c>
      <c r="C20">
        <v>962</v>
      </c>
      <c r="D20">
        <v>689</v>
      </c>
      <c r="E20">
        <v>980</v>
      </c>
      <c r="F20" s="35">
        <v>1339</v>
      </c>
      <c r="G20" s="35">
        <v>1165</v>
      </c>
    </row>
    <row r="21" spans="2:7" x14ac:dyDescent="0.3">
      <c r="B21" t="s">
        <v>342</v>
      </c>
      <c r="C21">
        <v>564</v>
      </c>
      <c r="D21">
        <v>407</v>
      </c>
      <c r="E21">
        <v>561</v>
      </c>
      <c r="F21">
        <v>811</v>
      </c>
      <c r="G21">
        <v>637</v>
      </c>
    </row>
    <row r="22" spans="2:7" x14ac:dyDescent="0.3">
      <c r="B22" t="s">
        <v>343</v>
      </c>
      <c r="C22" s="35">
        <v>283</v>
      </c>
      <c r="D22" s="35">
        <v>281</v>
      </c>
      <c r="E22" s="35">
        <v>419</v>
      </c>
      <c r="F22" s="35">
        <v>528</v>
      </c>
      <c r="G22" s="35">
        <v>528</v>
      </c>
    </row>
    <row r="23" spans="2:7" x14ac:dyDescent="0.3">
      <c r="B23" t="s">
        <v>344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</row>
    <row r="24" spans="2:7" x14ac:dyDescent="0.3">
      <c r="B24" t="s">
        <v>345</v>
      </c>
      <c r="C24">
        <v>114</v>
      </c>
      <c r="D24">
        <v>0</v>
      </c>
      <c r="E24">
        <v>0</v>
      </c>
      <c r="F24">
        <v>0</v>
      </c>
      <c r="G24">
        <v>0</v>
      </c>
    </row>
    <row r="25" spans="2:7" x14ac:dyDescent="0.3">
      <c r="B25" t="s">
        <v>363</v>
      </c>
      <c r="C25">
        <v>151</v>
      </c>
      <c r="D25">
        <v>260</v>
      </c>
      <c r="E25">
        <v>209</v>
      </c>
      <c r="F25">
        <v>231</v>
      </c>
      <c r="G25">
        <v>256</v>
      </c>
    </row>
    <row r="26" spans="2:7" x14ac:dyDescent="0.3">
      <c r="B26" t="s">
        <v>346</v>
      </c>
      <c r="C26">
        <v>55</v>
      </c>
      <c r="D26">
        <v>82</v>
      </c>
      <c r="E26">
        <v>52</v>
      </c>
      <c r="F26" s="35">
        <v>74</v>
      </c>
      <c r="G26" s="35">
        <v>89</v>
      </c>
    </row>
    <row r="27" spans="2:7" x14ac:dyDescent="0.3">
      <c r="B27" t="s">
        <v>347</v>
      </c>
      <c r="C27" s="35">
        <v>4</v>
      </c>
      <c r="D27" s="35">
        <v>14</v>
      </c>
      <c r="E27" s="35">
        <v>5</v>
      </c>
      <c r="F27" s="35">
        <v>4</v>
      </c>
      <c r="G27" s="35">
        <v>2</v>
      </c>
    </row>
    <row r="28" spans="2:7" x14ac:dyDescent="0.3">
      <c r="B28" t="s">
        <v>348</v>
      </c>
      <c r="C28">
        <v>92</v>
      </c>
      <c r="D28">
        <v>164</v>
      </c>
      <c r="E28">
        <v>152</v>
      </c>
      <c r="F28">
        <v>153</v>
      </c>
      <c r="G28">
        <v>165</v>
      </c>
    </row>
    <row r="29" spans="2:7" x14ac:dyDescent="0.3">
      <c r="B29" t="s">
        <v>65</v>
      </c>
      <c r="C29">
        <v>1676</v>
      </c>
      <c r="D29">
        <v>1824</v>
      </c>
      <c r="E29">
        <v>2218</v>
      </c>
      <c r="F29">
        <v>2717</v>
      </c>
      <c r="G29">
        <v>2732</v>
      </c>
    </row>
    <row r="30" spans="2:7" x14ac:dyDescent="0.3">
      <c r="B30" t="s">
        <v>364</v>
      </c>
      <c r="C30">
        <v>1060</v>
      </c>
      <c r="D30">
        <v>1012</v>
      </c>
      <c r="E30">
        <v>1011</v>
      </c>
      <c r="F30">
        <v>1709</v>
      </c>
      <c r="G30">
        <v>1577</v>
      </c>
    </row>
    <row r="31" spans="2:7" x14ac:dyDescent="0.3">
      <c r="B31" t="s">
        <v>349</v>
      </c>
      <c r="C31">
        <v>10.42</v>
      </c>
      <c r="D31">
        <v>15.3</v>
      </c>
      <c r="E31">
        <v>16.23</v>
      </c>
      <c r="F31">
        <v>16.23</v>
      </c>
      <c r="G31">
        <v>16.25</v>
      </c>
    </row>
    <row r="32" spans="2:7" x14ac:dyDescent="0.3">
      <c r="B32" t="s">
        <v>350</v>
      </c>
      <c r="C32">
        <v>319.83999999999997</v>
      </c>
      <c r="D32">
        <v>317.64999999999998</v>
      </c>
      <c r="E32">
        <v>317.67</v>
      </c>
      <c r="F32">
        <v>466.45</v>
      </c>
      <c r="G32">
        <v>470.93</v>
      </c>
    </row>
    <row r="33" spans="2:7" x14ac:dyDescent="0.3">
      <c r="B33" t="s">
        <v>351</v>
      </c>
      <c r="C33">
        <v>993.21</v>
      </c>
      <c r="D33">
        <v>1002.21</v>
      </c>
      <c r="E33">
        <v>1083.8699999999999</v>
      </c>
      <c r="F33">
        <v>1709.59</v>
      </c>
      <c r="G33">
        <v>1717.41</v>
      </c>
    </row>
    <row r="34" spans="2:7" x14ac:dyDescent="0.3">
      <c r="B34" t="s">
        <v>352</v>
      </c>
      <c r="C34">
        <v>4.3600000000000003</v>
      </c>
      <c r="D34">
        <v>4.59</v>
      </c>
      <c r="E34">
        <v>4.75</v>
      </c>
      <c r="F34">
        <v>5.62</v>
      </c>
      <c r="G34">
        <v>5.99</v>
      </c>
    </row>
    <row r="35" spans="2:7" x14ac:dyDescent="0.3">
      <c r="B35" t="s">
        <v>353</v>
      </c>
      <c r="C35">
        <v>46.93</v>
      </c>
      <c r="D35">
        <v>46.69</v>
      </c>
      <c r="E35">
        <v>49.13</v>
      </c>
      <c r="F35">
        <v>87.1</v>
      </c>
      <c r="G35">
        <v>87.59</v>
      </c>
    </row>
    <row r="36" spans="2:7" x14ac:dyDescent="0.3">
      <c r="B36" t="s">
        <v>354</v>
      </c>
      <c r="C36">
        <v>3.39</v>
      </c>
      <c r="D36">
        <v>5.7</v>
      </c>
      <c r="E36">
        <v>5.52</v>
      </c>
      <c r="F36">
        <v>7.58</v>
      </c>
      <c r="G36">
        <v>9.6199999999999992</v>
      </c>
    </row>
    <row r="37" spans="2:7" x14ac:dyDescent="0.3">
      <c r="B37" t="s">
        <v>355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2:7" x14ac:dyDescent="0.3">
      <c r="B38" t="s">
        <v>356</v>
      </c>
      <c r="C38">
        <v>2.25</v>
      </c>
      <c r="D38">
        <v>2.69</v>
      </c>
      <c r="E38">
        <v>2.9</v>
      </c>
      <c r="F38">
        <v>2.97</v>
      </c>
      <c r="G38">
        <v>2.97</v>
      </c>
    </row>
    <row r="39" spans="2:7" x14ac:dyDescent="0.3">
      <c r="B39" t="s">
        <v>357</v>
      </c>
      <c r="C39">
        <v>1380.4</v>
      </c>
      <c r="D39">
        <v>1394.83</v>
      </c>
      <c r="E39">
        <v>1480.07</v>
      </c>
      <c r="F39">
        <v>2295.54</v>
      </c>
      <c r="G39">
        <v>2310.7600000000002</v>
      </c>
    </row>
    <row r="40" spans="2:7" x14ac:dyDescent="0.3">
      <c r="B40" t="s">
        <v>358</v>
      </c>
      <c r="C40">
        <v>320.67</v>
      </c>
      <c r="D40">
        <v>382.95</v>
      </c>
      <c r="E40">
        <v>468.98</v>
      </c>
      <c r="F40">
        <v>586.63</v>
      </c>
      <c r="G40">
        <v>733.44</v>
      </c>
    </row>
    <row r="41" spans="2:7" x14ac:dyDescent="0.3">
      <c r="B41" t="s">
        <v>331</v>
      </c>
      <c r="C41">
        <v>2</v>
      </c>
      <c r="D41">
        <v>0</v>
      </c>
      <c r="E41">
        <v>340</v>
      </c>
      <c r="F41">
        <v>2</v>
      </c>
      <c r="G41">
        <v>7</v>
      </c>
    </row>
    <row r="42" spans="2:7" x14ac:dyDescent="0.3">
      <c r="B42" t="s">
        <v>332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2:7" x14ac:dyDescent="0.3">
      <c r="B43" t="s">
        <v>365</v>
      </c>
      <c r="C43">
        <v>615</v>
      </c>
      <c r="D43">
        <v>812</v>
      </c>
      <c r="E43">
        <v>867</v>
      </c>
      <c r="F43">
        <v>1005</v>
      </c>
      <c r="G43">
        <v>1148</v>
      </c>
    </row>
    <row r="44" spans="2:7" x14ac:dyDescent="0.3">
      <c r="B44" t="s">
        <v>75</v>
      </c>
      <c r="C44">
        <v>355</v>
      </c>
      <c r="D44">
        <v>406</v>
      </c>
      <c r="E44">
        <v>492</v>
      </c>
      <c r="F44">
        <v>564</v>
      </c>
      <c r="G44">
        <v>607</v>
      </c>
    </row>
    <row r="45" spans="2:7" x14ac:dyDescent="0.3">
      <c r="B45" t="s">
        <v>359</v>
      </c>
      <c r="C45">
        <v>166</v>
      </c>
      <c r="D45">
        <v>241</v>
      </c>
      <c r="E45">
        <v>223</v>
      </c>
      <c r="F45">
        <v>321</v>
      </c>
      <c r="G45">
        <v>430</v>
      </c>
    </row>
    <row r="46" spans="2:7" x14ac:dyDescent="0.3">
      <c r="B46" t="s">
        <v>360</v>
      </c>
      <c r="C46">
        <v>1</v>
      </c>
      <c r="D46">
        <v>1</v>
      </c>
      <c r="E46">
        <v>0</v>
      </c>
      <c r="F46">
        <v>0</v>
      </c>
      <c r="G46">
        <v>10</v>
      </c>
    </row>
    <row r="47" spans="2:7" x14ac:dyDescent="0.3">
      <c r="B47" t="s">
        <v>361</v>
      </c>
      <c r="C47">
        <v>13</v>
      </c>
      <c r="D47">
        <v>23</v>
      </c>
      <c r="E47">
        <v>12</v>
      </c>
      <c r="F47">
        <v>17</v>
      </c>
      <c r="G47">
        <v>8</v>
      </c>
    </row>
    <row r="48" spans="2:7" x14ac:dyDescent="0.3">
      <c r="B48" t="s">
        <v>362</v>
      </c>
      <c r="C48">
        <v>80</v>
      </c>
      <c r="D48">
        <v>141</v>
      </c>
      <c r="E48">
        <v>139</v>
      </c>
      <c r="F48">
        <v>103</v>
      </c>
      <c r="G48">
        <v>93</v>
      </c>
    </row>
    <row r="49" spans="2:20" x14ac:dyDescent="0.3">
      <c r="B49" t="s">
        <v>81</v>
      </c>
      <c r="C49">
        <v>1676</v>
      </c>
      <c r="D49">
        <v>1824</v>
      </c>
      <c r="E49">
        <v>2218</v>
      </c>
      <c r="F49">
        <v>2717</v>
      </c>
      <c r="G49">
        <v>2732</v>
      </c>
    </row>
    <row r="50" spans="2:20" x14ac:dyDescent="0.3">
      <c r="B50" s="34" t="s">
        <v>333</v>
      </c>
      <c r="C50" s="34"/>
      <c r="D50" s="34"/>
      <c r="E50" s="34"/>
      <c r="F50" s="34"/>
      <c r="G50" s="34"/>
    </row>
    <row r="51" spans="2:20" x14ac:dyDescent="0.3">
      <c r="B51" t="s">
        <v>334</v>
      </c>
      <c r="C51">
        <v>155</v>
      </c>
      <c r="D51">
        <v>431</v>
      </c>
      <c r="E51">
        <v>194</v>
      </c>
      <c r="F51">
        <v>163</v>
      </c>
      <c r="G51">
        <v>307</v>
      </c>
    </row>
    <row r="52" spans="2:20" x14ac:dyDescent="0.3">
      <c r="B52" t="s">
        <v>335</v>
      </c>
      <c r="C52">
        <v>-11</v>
      </c>
      <c r="D52">
        <v>-86</v>
      </c>
      <c r="E52">
        <v>-433</v>
      </c>
      <c r="F52">
        <v>-426</v>
      </c>
      <c r="G52">
        <v>-22</v>
      </c>
    </row>
    <row r="53" spans="2:20" x14ac:dyDescent="0.3">
      <c r="B53" t="s">
        <v>336</v>
      </c>
      <c r="C53">
        <v>-144</v>
      </c>
      <c r="D53">
        <v>-345</v>
      </c>
      <c r="E53">
        <v>239</v>
      </c>
      <c r="F53">
        <v>262</v>
      </c>
      <c r="G53">
        <v>-279</v>
      </c>
    </row>
    <row r="54" spans="2:20" x14ac:dyDescent="0.3">
      <c r="B54" t="s">
        <v>95</v>
      </c>
      <c r="C54">
        <v>0</v>
      </c>
      <c r="D54">
        <v>0</v>
      </c>
      <c r="E54">
        <v>0</v>
      </c>
      <c r="F54">
        <v>0</v>
      </c>
      <c r="G54">
        <v>7</v>
      </c>
    </row>
    <row r="55" spans="2:20" x14ac:dyDescent="0.3">
      <c r="B55" t="s">
        <v>337</v>
      </c>
      <c r="C55">
        <v>143</v>
      </c>
      <c r="D55">
        <v>345</v>
      </c>
      <c r="E55">
        <v>-240</v>
      </c>
      <c r="F55">
        <v>-262</v>
      </c>
      <c r="G55">
        <v>286</v>
      </c>
    </row>
    <row r="56" spans="2:20" x14ac:dyDescent="0.3"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</row>
    <row r="58" spans="2:20" x14ac:dyDescent="0.3">
      <c r="R58" s="35"/>
      <c r="S58" s="35"/>
      <c r="T58" s="35"/>
    </row>
    <row r="59" spans="2:20" x14ac:dyDescent="0.3">
      <c r="N59" s="35"/>
      <c r="R59" s="35"/>
      <c r="S59" s="35"/>
    </row>
    <row r="68" spans="13:20" x14ac:dyDescent="0.3">
      <c r="M68" s="35"/>
      <c r="N68" s="35"/>
      <c r="O68" s="35"/>
      <c r="P68" s="35"/>
      <c r="Q68" s="35"/>
      <c r="R68" s="35"/>
      <c r="S68" s="35"/>
      <c r="T68" s="35"/>
    </row>
    <row r="69" spans="13:20" x14ac:dyDescent="0.3">
      <c r="N69" s="35"/>
      <c r="O69" s="35"/>
      <c r="P69" s="35"/>
      <c r="Q69" s="35"/>
      <c r="R69" s="35"/>
      <c r="S69" s="35"/>
      <c r="T69" s="35"/>
    </row>
    <row r="72" spans="13:20" x14ac:dyDescent="0.3">
      <c r="P72" s="39"/>
      <c r="Q72" s="39"/>
      <c r="R72" s="39"/>
      <c r="S72" s="39"/>
    </row>
    <row r="78" spans="13:20" x14ac:dyDescent="0.3">
      <c r="N78" s="39"/>
      <c r="O78" s="39"/>
      <c r="P78" s="39"/>
      <c r="Q78" s="39"/>
      <c r="R78" s="39"/>
      <c r="S78" s="39"/>
    </row>
    <row r="82" spans="13:20" x14ac:dyDescent="0.3">
      <c r="R82" s="35"/>
      <c r="S82" s="35"/>
    </row>
    <row r="88" spans="13:20" x14ac:dyDescent="0.3">
      <c r="M88" s="35"/>
      <c r="N88" s="35"/>
      <c r="O88" s="35"/>
      <c r="P88" s="35"/>
      <c r="Q88" s="35"/>
      <c r="R88" s="35"/>
      <c r="S88" s="35"/>
      <c r="T88" s="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2C52-4A5A-428A-AD87-4325487E4AF6}">
  <dimension ref="B2:S20"/>
  <sheetViews>
    <sheetView zoomScale="91" zoomScaleNormal="91" workbookViewId="0">
      <selection activeCell="K25" sqref="K25"/>
    </sheetView>
  </sheetViews>
  <sheetFormatPr defaultRowHeight="14.4" x14ac:dyDescent="0.3"/>
  <cols>
    <col min="1" max="1" width="4" customWidth="1"/>
    <col min="2" max="2" width="27.88671875" bestFit="1" customWidth="1"/>
    <col min="3" max="3" width="6.5546875" bestFit="1" customWidth="1"/>
    <col min="4" max="4" width="10.44140625" bestFit="1" customWidth="1"/>
    <col min="5" max="5" width="8.77734375" bestFit="1" customWidth="1"/>
    <col min="6" max="6" width="7.44140625" bestFit="1" customWidth="1"/>
    <col min="7" max="7" width="5.77734375" customWidth="1"/>
    <col min="8" max="8" width="6.33203125" customWidth="1"/>
    <col min="9" max="9" width="16.33203125" bestFit="1" customWidth="1"/>
    <col min="10" max="10" width="11.6640625" bestFit="1" customWidth="1"/>
    <col min="11" max="11" width="11.77734375" bestFit="1" customWidth="1"/>
    <col min="12" max="12" width="10.33203125" customWidth="1"/>
    <col min="13" max="13" width="14" bestFit="1" customWidth="1"/>
    <col min="14" max="14" width="15" bestFit="1" customWidth="1"/>
    <col min="15" max="15" width="6.21875" customWidth="1"/>
    <col min="16" max="16" width="16" bestFit="1" customWidth="1"/>
    <col min="17" max="17" width="11.33203125" bestFit="1" customWidth="1"/>
    <col min="18" max="18" width="17.21875" bestFit="1" customWidth="1"/>
    <col min="19" max="19" width="15.21875" bestFit="1" customWidth="1"/>
  </cols>
  <sheetData>
    <row r="2" spans="2:19" x14ac:dyDescent="0.3">
      <c r="B2" s="42" t="s">
        <v>372</v>
      </c>
      <c r="C2" s="42" t="s">
        <v>373</v>
      </c>
      <c r="D2" s="42" t="s">
        <v>374</v>
      </c>
      <c r="E2" s="42" t="s">
        <v>297</v>
      </c>
      <c r="F2" s="43" t="s">
        <v>38</v>
      </c>
      <c r="G2" s="43" t="s">
        <v>42</v>
      </c>
      <c r="H2" s="43" t="s">
        <v>375</v>
      </c>
      <c r="I2" s="42" t="s">
        <v>376</v>
      </c>
      <c r="J2" s="42" t="s">
        <v>377</v>
      </c>
      <c r="K2" s="42" t="s">
        <v>378</v>
      </c>
      <c r="L2" s="42" t="s">
        <v>379</v>
      </c>
      <c r="M2" s="43" t="s">
        <v>380</v>
      </c>
      <c r="N2" s="42" t="s">
        <v>381</v>
      </c>
      <c r="O2" s="43" t="s">
        <v>90</v>
      </c>
      <c r="P2" s="42" t="s">
        <v>382</v>
      </c>
      <c r="Q2" s="42" t="s">
        <v>383</v>
      </c>
      <c r="R2" s="42" t="s">
        <v>384</v>
      </c>
      <c r="S2" s="42" t="s">
        <v>385</v>
      </c>
    </row>
    <row r="3" spans="2:19" x14ac:dyDescent="0.3">
      <c r="B3" t="s">
        <v>386</v>
      </c>
      <c r="C3" t="s">
        <v>392</v>
      </c>
      <c r="D3">
        <v>2022</v>
      </c>
      <c r="E3">
        <v>2404</v>
      </c>
      <c r="F3">
        <v>297</v>
      </c>
      <c r="G3" s="44">
        <v>210</v>
      </c>
      <c r="H3">
        <v>164</v>
      </c>
      <c r="I3">
        <v>38</v>
      </c>
      <c r="J3">
        <v>2218</v>
      </c>
      <c r="K3">
        <v>1029</v>
      </c>
      <c r="L3">
        <v>980</v>
      </c>
      <c r="M3">
        <v>866</v>
      </c>
      <c r="N3">
        <v>209</v>
      </c>
      <c r="O3">
        <v>194</v>
      </c>
      <c r="P3">
        <v>92</v>
      </c>
      <c r="Q3">
        <v>1232</v>
      </c>
      <c r="R3">
        <v>973</v>
      </c>
      <c r="S3">
        <v>657</v>
      </c>
    </row>
    <row r="4" spans="2:19" x14ac:dyDescent="0.3">
      <c r="B4" t="s">
        <v>386</v>
      </c>
      <c r="C4" t="s">
        <v>392</v>
      </c>
      <c r="D4">
        <v>2023</v>
      </c>
      <c r="E4">
        <v>2902</v>
      </c>
      <c r="F4">
        <v>377</v>
      </c>
      <c r="G4" s="44">
        <v>259</v>
      </c>
      <c r="H4">
        <v>132</v>
      </c>
      <c r="I4">
        <v>83</v>
      </c>
      <c r="J4">
        <v>2717</v>
      </c>
      <c r="K4">
        <v>1146</v>
      </c>
      <c r="L4">
        <v>1339</v>
      </c>
      <c r="M4">
        <v>1005</v>
      </c>
      <c r="N4">
        <v>231</v>
      </c>
      <c r="O4">
        <v>163</v>
      </c>
      <c r="P4">
        <v>107</v>
      </c>
      <c r="Q4">
        <v>1964</v>
      </c>
      <c r="R4">
        <v>1090</v>
      </c>
      <c r="S4">
        <v>774</v>
      </c>
    </row>
    <row r="5" spans="2:19" x14ac:dyDescent="0.3">
      <c r="B5" t="s">
        <v>386</v>
      </c>
      <c r="C5" t="s">
        <v>392</v>
      </c>
      <c r="D5">
        <v>2024</v>
      </c>
      <c r="E5">
        <v>3300</v>
      </c>
      <c r="F5">
        <v>471</v>
      </c>
      <c r="G5" s="44">
        <v>323</v>
      </c>
      <c r="H5">
        <v>175</v>
      </c>
      <c r="I5">
        <v>90</v>
      </c>
      <c r="J5">
        <v>2732</v>
      </c>
      <c r="K5">
        <v>1311</v>
      </c>
      <c r="L5">
        <v>1165</v>
      </c>
      <c r="M5">
        <v>1148</v>
      </c>
      <c r="N5">
        <v>256</v>
      </c>
      <c r="O5">
        <v>307</v>
      </c>
      <c r="P5">
        <v>174</v>
      </c>
      <c r="Q5">
        <v>2692</v>
      </c>
      <c r="R5">
        <v>1255</v>
      </c>
      <c r="S5">
        <v>892</v>
      </c>
    </row>
    <row r="6" spans="2:19" x14ac:dyDescent="0.3">
      <c r="B6" t="s">
        <v>387</v>
      </c>
      <c r="C6" t="s">
        <v>392</v>
      </c>
      <c r="D6">
        <v>2022</v>
      </c>
      <c r="E6">
        <v>2204</v>
      </c>
      <c r="F6">
        <v>282</v>
      </c>
      <c r="G6" s="45">
        <v>216</v>
      </c>
      <c r="H6">
        <v>132</v>
      </c>
      <c r="I6">
        <v>26</v>
      </c>
      <c r="J6">
        <v>1575</v>
      </c>
      <c r="K6">
        <v>822</v>
      </c>
      <c r="L6">
        <v>474</v>
      </c>
      <c r="M6">
        <v>811</v>
      </c>
      <c r="N6">
        <v>332</v>
      </c>
      <c r="O6">
        <v>520</v>
      </c>
      <c r="P6">
        <v>317</v>
      </c>
      <c r="Q6">
        <v>953</v>
      </c>
      <c r="R6">
        <v>809</v>
      </c>
      <c r="S6">
        <v>479</v>
      </c>
    </row>
    <row r="7" spans="2:19" x14ac:dyDescent="0.3">
      <c r="B7" t="s">
        <v>387</v>
      </c>
      <c r="C7" t="s">
        <v>392</v>
      </c>
      <c r="D7">
        <v>2023</v>
      </c>
      <c r="E7">
        <v>2376</v>
      </c>
      <c r="F7">
        <v>209</v>
      </c>
      <c r="G7" s="45">
        <v>159</v>
      </c>
      <c r="H7">
        <v>70</v>
      </c>
      <c r="I7">
        <v>63</v>
      </c>
      <c r="J7">
        <v>1963</v>
      </c>
      <c r="K7">
        <v>825</v>
      </c>
      <c r="L7">
        <v>874</v>
      </c>
      <c r="M7">
        <v>1177</v>
      </c>
      <c r="N7">
        <v>665</v>
      </c>
      <c r="O7">
        <v>-236</v>
      </c>
      <c r="P7">
        <v>33</v>
      </c>
      <c r="Q7">
        <v>1043</v>
      </c>
      <c r="R7">
        <v>812</v>
      </c>
      <c r="S7">
        <v>512</v>
      </c>
    </row>
    <row r="8" spans="2:19" x14ac:dyDescent="0.3">
      <c r="B8" t="s">
        <v>387</v>
      </c>
      <c r="C8" t="s">
        <v>392</v>
      </c>
      <c r="D8">
        <v>2024</v>
      </c>
      <c r="E8">
        <v>2524</v>
      </c>
      <c r="F8">
        <v>267</v>
      </c>
      <c r="G8">
        <v>204</v>
      </c>
      <c r="H8">
        <v>109</v>
      </c>
      <c r="I8">
        <v>54</v>
      </c>
      <c r="J8">
        <v>1775</v>
      </c>
      <c r="K8">
        <v>929</v>
      </c>
      <c r="L8">
        <v>585</v>
      </c>
      <c r="M8">
        <v>1011</v>
      </c>
      <c r="N8">
        <v>415</v>
      </c>
      <c r="O8">
        <v>415</v>
      </c>
      <c r="P8">
        <v>256</v>
      </c>
      <c r="Q8">
        <v>1323</v>
      </c>
      <c r="R8">
        <v>993</v>
      </c>
      <c r="S8">
        <v>610</v>
      </c>
    </row>
    <row r="9" spans="2:19" x14ac:dyDescent="0.3">
      <c r="B9" t="s">
        <v>388</v>
      </c>
      <c r="C9" t="s">
        <v>392</v>
      </c>
      <c r="D9">
        <v>2022</v>
      </c>
      <c r="E9">
        <v>2715</v>
      </c>
      <c r="F9">
        <v>302</v>
      </c>
      <c r="G9" s="45">
        <v>215</v>
      </c>
      <c r="H9">
        <v>135</v>
      </c>
      <c r="I9">
        <v>54</v>
      </c>
      <c r="J9">
        <v>2112</v>
      </c>
      <c r="K9">
        <v>887</v>
      </c>
      <c r="L9">
        <v>810</v>
      </c>
      <c r="M9">
        <v>1183</v>
      </c>
      <c r="N9">
        <v>899</v>
      </c>
      <c r="O9">
        <v>193</v>
      </c>
      <c r="P9">
        <v>81</v>
      </c>
      <c r="Q9">
        <v>1097</v>
      </c>
      <c r="R9">
        <v>842</v>
      </c>
      <c r="S9">
        <v>284</v>
      </c>
    </row>
    <row r="10" spans="2:19" x14ac:dyDescent="0.3">
      <c r="B10" t="s">
        <v>388</v>
      </c>
      <c r="C10" t="s">
        <v>392</v>
      </c>
      <c r="D10">
        <v>2023</v>
      </c>
      <c r="E10">
        <v>2648</v>
      </c>
      <c r="F10">
        <v>203</v>
      </c>
      <c r="G10" s="45">
        <v>121</v>
      </c>
      <c r="H10">
        <v>38</v>
      </c>
      <c r="I10">
        <v>68</v>
      </c>
      <c r="J10">
        <v>2656</v>
      </c>
      <c r="K10">
        <v>985</v>
      </c>
      <c r="L10">
        <v>1005</v>
      </c>
      <c r="M10">
        <v>1469</v>
      </c>
      <c r="N10">
        <v>1109</v>
      </c>
      <c r="O10">
        <v>179</v>
      </c>
      <c r="P10">
        <v>54</v>
      </c>
      <c r="Q10">
        <v>2135</v>
      </c>
      <c r="R10">
        <v>935</v>
      </c>
      <c r="S10">
        <v>360</v>
      </c>
    </row>
    <row r="11" spans="2:19" x14ac:dyDescent="0.3">
      <c r="B11" t="s">
        <v>388</v>
      </c>
      <c r="C11" t="s">
        <v>392</v>
      </c>
      <c r="D11">
        <v>2024</v>
      </c>
      <c r="E11">
        <v>2843</v>
      </c>
      <c r="F11">
        <v>225</v>
      </c>
      <c r="G11">
        <v>131</v>
      </c>
      <c r="H11">
        <v>27</v>
      </c>
      <c r="I11">
        <v>92</v>
      </c>
      <c r="J11">
        <v>2955</v>
      </c>
      <c r="K11">
        <v>1003</v>
      </c>
      <c r="L11">
        <v>1067</v>
      </c>
      <c r="M11">
        <v>1373</v>
      </c>
      <c r="N11">
        <v>1189</v>
      </c>
      <c r="O11">
        <v>433</v>
      </c>
      <c r="P11">
        <v>97</v>
      </c>
      <c r="Q11">
        <v>2084</v>
      </c>
      <c r="R11">
        <v>957</v>
      </c>
      <c r="S11">
        <v>226</v>
      </c>
    </row>
    <row r="12" spans="2:19" x14ac:dyDescent="0.3">
      <c r="B12" t="s">
        <v>389</v>
      </c>
      <c r="C12" t="s">
        <v>392</v>
      </c>
      <c r="D12">
        <v>2022</v>
      </c>
      <c r="E12">
        <v>443</v>
      </c>
      <c r="F12">
        <v>17</v>
      </c>
      <c r="G12" s="45">
        <v>16</v>
      </c>
      <c r="H12">
        <v>4</v>
      </c>
      <c r="I12">
        <v>10</v>
      </c>
      <c r="J12">
        <v>307</v>
      </c>
      <c r="K12">
        <v>111</v>
      </c>
      <c r="L12">
        <v>173</v>
      </c>
      <c r="M12">
        <v>135</v>
      </c>
      <c r="N12">
        <v>145</v>
      </c>
      <c r="O12">
        <v>22</v>
      </c>
      <c r="P12">
        <v>4.16</v>
      </c>
      <c r="Q12">
        <v>190</v>
      </c>
      <c r="R12">
        <v>96</v>
      </c>
      <c r="S12">
        <v>-10</v>
      </c>
    </row>
    <row r="13" spans="2:19" x14ac:dyDescent="0.3">
      <c r="B13" t="s">
        <v>389</v>
      </c>
      <c r="C13" t="s">
        <v>392</v>
      </c>
      <c r="D13">
        <v>2023</v>
      </c>
      <c r="E13">
        <v>658</v>
      </c>
      <c r="F13">
        <v>30</v>
      </c>
      <c r="G13" s="45">
        <v>28</v>
      </c>
      <c r="H13">
        <v>8</v>
      </c>
      <c r="I13">
        <v>17</v>
      </c>
      <c r="J13">
        <v>310</v>
      </c>
      <c r="K13">
        <v>118</v>
      </c>
      <c r="L13">
        <v>151</v>
      </c>
      <c r="M13">
        <v>132</v>
      </c>
      <c r="N13">
        <v>146</v>
      </c>
      <c r="O13">
        <v>65</v>
      </c>
      <c r="P13">
        <v>22.69</v>
      </c>
      <c r="Q13">
        <v>156</v>
      </c>
      <c r="R13">
        <v>103</v>
      </c>
      <c r="S13">
        <v>-14</v>
      </c>
    </row>
    <row r="14" spans="2:19" x14ac:dyDescent="0.3">
      <c r="B14" t="s">
        <v>389</v>
      </c>
      <c r="C14" t="s">
        <v>392</v>
      </c>
      <c r="D14">
        <v>2024</v>
      </c>
      <c r="E14">
        <v>637</v>
      </c>
      <c r="F14">
        <v>25</v>
      </c>
      <c r="G14">
        <v>30</v>
      </c>
      <c r="H14">
        <v>13</v>
      </c>
      <c r="I14">
        <v>13</v>
      </c>
      <c r="J14">
        <v>299</v>
      </c>
      <c r="K14">
        <v>155</v>
      </c>
      <c r="L14">
        <v>99</v>
      </c>
      <c r="M14">
        <v>121</v>
      </c>
      <c r="N14">
        <v>104</v>
      </c>
      <c r="O14">
        <v>52</v>
      </c>
      <c r="P14">
        <v>37.36</v>
      </c>
      <c r="Q14">
        <v>132</v>
      </c>
      <c r="R14">
        <v>139</v>
      </c>
      <c r="S14">
        <v>59</v>
      </c>
    </row>
    <row r="15" spans="2:19" x14ac:dyDescent="0.3">
      <c r="B15" t="s">
        <v>390</v>
      </c>
      <c r="C15" t="s">
        <v>392</v>
      </c>
      <c r="D15">
        <v>2022</v>
      </c>
      <c r="E15">
        <v>3074</v>
      </c>
      <c r="F15">
        <v>260</v>
      </c>
      <c r="G15" s="45">
        <v>123</v>
      </c>
      <c r="H15">
        <v>37</v>
      </c>
      <c r="I15">
        <v>58</v>
      </c>
      <c r="J15">
        <v>2432</v>
      </c>
      <c r="K15">
        <v>1109</v>
      </c>
      <c r="L15">
        <v>953</v>
      </c>
      <c r="M15">
        <v>1308</v>
      </c>
      <c r="N15">
        <v>1044</v>
      </c>
      <c r="O15">
        <v>196</v>
      </c>
      <c r="P15">
        <v>130</v>
      </c>
      <c r="Q15">
        <v>1173</v>
      </c>
      <c r="R15">
        <v>1093</v>
      </c>
      <c r="S15">
        <v>264</v>
      </c>
    </row>
    <row r="16" spans="2:19" x14ac:dyDescent="0.3">
      <c r="B16" t="s">
        <v>390</v>
      </c>
      <c r="C16" t="s">
        <v>392</v>
      </c>
      <c r="D16">
        <v>2023</v>
      </c>
      <c r="E16">
        <v>2703</v>
      </c>
      <c r="F16">
        <v>-37</v>
      </c>
      <c r="G16" s="46">
        <v>-159</v>
      </c>
      <c r="H16">
        <v>-136</v>
      </c>
      <c r="I16">
        <v>65</v>
      </c>
      <c r="J16">
        <v>2109</v>
      </c>
      <c r="K16">
        <v>961</v>
      </c>
      <c r="L16">
        <v>846</v>
      </c>
      <c r="M16">
        <v>1044</v>
      </c>
      <c r="N16">
        <v>870</v>
      </c>
      <c r="O16">
        <v>222</v>
      </c>
      <c r="P16">
        <v>204</v>
      </c>
      <c r="Q16">
        <v>664</v>
      </c>
      <c r="R16">
        <v>945</v>
      </c>
      <c r="S16">
        <v>174</v>
      </c>
    </row>
    <row r="17" spans="2:19" x14ac:dyDescent="0.3">
      <c r="B17" t="s">
        <v>390</v>
      </c>
      <c r="C17" t="s">
        <v>392</v>
      </c>
      <c r="D17">
        <v>2024</v>
      </c>
      <c r="E17">
        <v>2677</v>
      </c>
      <c r="F17">
        <v>43</v>
      </c>
      <c r="G17">
        <v>-47</v>
      </c>
      <c r="H17">
        <v>-68</v>
      </c>
      <c r="I17">
        <v>63</v>
      </c>
      <c r="J17">
        <v>2051</v>
      </c>
      <c r="K17">
        <v>894</v>
      </c>
      <c r="L17">
        <v>879</v>
      </c>
      <c r="M17">
        <v>1038</v>
      </c>
      <c r="N17">
        <v>829</v>
      </c>
      <c r="O17">
        <v>66</v>
      </c>
      <c r="P17">
        <v>146</v>
      </c>
      <c r="Q17">
        <v>826</v>
      </c>
      <c r="R17">
        <v>878</v>
      </c>
      <c r="S17">
        <v>179</v>
      </c>
    </row>
    <row r="18" spans="2:19" x14ac:dyDescent="0.3">
      <c r="B18" t="s">
        <v>391</v>
      </c>
      <c r="C18" t="s">
        <v>392</v>
      </c>
      <c r="D18">
        <v>2022</v>
      </c>
      <c r="E18">
        <v>561</v>
      </c>
      <c r="F18">
        <v>70</v>
      </c>
      <c r="G18">
        <v>57</v>
      </c>
      <c r="H18">
        <v>40</v>
      </c>
      <c r="I18">
        <v>3</v>
      </c>
      <c r="J18">
        <v>349</v>
      </c>
      <c r="K18">
        <v>235</v>
      </c>
      <c r="L18">
        <v>50</v>
      </c>
      <c r="M18">
        <v>165</v>
      </c>
      <c r="N18">
        <v>108.69</v>
      </c>
      <c r="O18">
        <v>39</v>
      </c>
      <c r="P18">
        <v>5.63</v>
      </c>
      <c r="Q18">
        <v>2013</v>
      </c>
      <c r="R18">
        <v>228</v>
      </c>
      <c r="S18">
        <v>56.31</v>
      </c>
    </row>
    <row r="19" spans="2:19" x14ac:dyDescent="0.3">
      <c r="B19" t="s">
        <v>391</v>
      </c>
      <c r="C19" t="s">
        <v>392</v>
      </c>
      <c r="D19">
        <v>2023</v>
      </c>
      <c r="E19">
        <v>471</v>
      </c>
      <c r="F19">
        <v>20</v>
      </c>
      <c r="G19">
        <v>6</v>
      </c>
      <c r="H19">
        <v>1</v>
      </c>
      <c r="I19">
        <v>4</v>
      </c>
      <c r="J19">
        <v>353</v>
      </c>
      <c r="K19">
        <v>235</v>
      </c>
      <c r="L19">
        <v>44</v>
      </c>
      <c r="M19">
        <v>167</v>
      </c>
      <c r="N19">
        <v>116.93</v>
      </c>
      <c r="O19">
        <v>42</v>
      </c>
      <c r="P19">
        <v>8.9</v>
      </c>
      <c r="Q19">
        <v>1604</v>
      </c>
      <c r="R19">
        <v>228</v>
      </c>
      <c r="S19">
        <v>50.07</v>
      </c>
    </row>
    <row r="20" spans="2:19" x14ac:dyDescent="0.3">
      <c r="B20" t="s">
        <v>391</v>
      </c>
      <c r="C20" t="s">
        <v>392</v>
      </c>
      <c r="D20">
        <v>2024</v>
      </c>
      <c r="E20">
        <v>524</v>
      </c>
      <c r="F20">
        <v>5</v>
      </c>
      <c r="G20">
        <v>-10</v>
      </c>
      <c r="H20">
        <v>-10</v>
      </c>
      <c r="I20">
        <v>4</v>
      </c>
      <c r="J20">
        <v>333</v>
      </c>
      <c r="K20">
        <v>225</v>
      </c>
      <c r="L20">
        <v>37</v>
      </c>
      <c r="M20">
        <v>157</v>
      </c>
      <c r="N20">
        <v>107.81</v>
      </c>
      <c r="O20">
        <v>27</v>
      </c>
      <c r="P20">
        <v>6.12</v>
      </c>
      <c r="Q20">
        <v>1590</v>
      </c>
      <c r="R20">
        <v>218</v>
      </c>
      <c r="S20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90A8-AD18-44A3-A607-11F531949932}">
  <dimension ref="B2:AB55"/>
  <sheetViews>
    <sheetView workbookViewId="0">
      <selection activeCell="H23" sqref="H23"/>
    </sheetView>
  </sheetViews>
  <sheetFormatPr defaultRowHeight="14.4" x14ac:dyDescent="0.3"/>
  <cols>
    <col min="2" max="2" width="6.88671875" bestFit="1" customWidth="1"/>
    <col min="3" max="3" width="11.88671875" bestFit="1" customWidth="1"/>
    <col min="4" max="4" width="10.33203125" bestFit="1" customWidth="1"/>
    <col min="5" max="5" width="9.6640625" bestFit="1" customWidth="1"/>
    <col min="6" max="6" width="17.77734375" bestFit="1" customWidth="1"/>
    <col min="7" max="7" width="13.21875" bestFit="1" customWidth="1"/>
    <col min="8" max="8" width="20.44140625" bestFit="1" customWidth="1"/>
    <col min="9" max="9" width="21.109375" bestFit="1" customWidth="1"/>
    <col min="10" max="10" width="13.21875" bestFit="1" customWidth="1"/>
    <col min="11" max="11" width="10.77734375" bestFit="1" customWidth="1"/>
    <col min="12" max="12" width="21.109375" bestFit="1" customWidth="1"/>
    <col min="13" max="13" width="19.6640625" bestFit="1" customWidth="1"/>
    <col min="14" max="14" width="19.88671875" bestFit="1" customWidth="1"/>
    <col min="15" max="15" width="5.33203125" bestFit="1" customWidth="1"/>
    <col min="16" max="16" width="15.6640625" bestFit="1" customWidth="1"/>
    <col min="17" max="17" width="11" bestFit="1" customWidth="1"/>
    <col min="18" max="19" width="13.21875" bestFit="1" customWidth="1"/>
    <col min="20" max="20" width="18.33203125" bestFit="1" customWidth="1"/>
    <col min="21" max="21" width="14.33203125" bestFit="1" customWidth="1"/>
    <col min="22" max="22" width="7.109375" bestFit="1" customWidth="1"/>
    <col min="23" max="23" width="12.21875" bestFit="1" customWidth="1"/>
    <col min="24" max="25" width="7.5546875" bestFit="1" customWidth="1"/>
    <col min="26" max="26" width="19.88671875" customWidth="1"/>
    <col min="27" max="27" width="18.33203125" bestFit="1" customWidth="1"/>
    <col min="28" max="28" width="20.88671875" bestFit="1" customWidth="1"/>
  </cols>
  <sheetData>
    <row r="2" spans="2:28" x14ac:dyDescent="0.3">
      <c r="B2" t="s">
        <v>99</v>
      </c>
      <c r="C2" t="s">
        <v>104</v>
      </c>
      <c r="D2" t="s">
        <v>108</v>
      </c>
      <c r="E2" t="s">
        <v>112</v>
      </c>
      <c r="F2" t="s">
        <v>117</v>
      </c>
      <c r="G2" t="s">
        <v>121</v>
      </c>
      <c r="H2" t="s">
        <v>125</v>
      </c>
      <c r="I2" t="s">
        <v>129</v>
      </c>
      <c r="J2" t="s">
        <v>134</v>
      </c>
      <c r="K2" t="s">
        <v>138</v>
      </c>
      <c r="L2" t="s">
        <v>142</v>
      </c>
      <c r="M2" t="s">
        <v>146</v>
      </c>
      <c r="N2" t="s">
        <v>150</v>
      </c>
      <c r="O2" t="s">
        <v>154</v>
      </c>
      <c r="P2" t="s">
        <v>158</v>
      </c>
      <c r="Q2" t="s">
        <v>163</v>
      </c>
      <c r="R2" t="s">
        <v>167</v>
      </c>
      <c r="S2" t="s">
        <v>171</v>
      </c>
      <c r="T2" t="s">
        <v>176</v>
      </c>
      <c r="U2" t="s">
        <v>181</v>
      </c>
      <c r="V2" t="s">
        <v>221</v>
      </c>
      <c r="W2" t="s">
        <v>222</v>
      </c>
      <c r="X2" t="s">
        <v>38</v>
      </c>
      <c r="Y2" t="s">
        <v>42</v>
      </c>
      <c r="Z2" t="s">
        <v>46</v>
      </c>
      <c r="AA2" t="s">
        <v>50</v>
      </c>
      <c r="AB2" s="47" t="s">
        <v>35</v>
      </c>
    </row>
    <row r="3" spans="2:28" x14ac:dyDescent="0.3">
      <c r="B3" t="s">
        <v>29</v>
      </c>
      <c r="C3" s="65">
        <v>4.072847682119205</v>
      </c>
      <c r="D3" s="65">
        <v>1.7218543046357615</v>
      </c>
      <c r="E3" s="65">
        <v>6.6225165562913907E-3</v>
      </c>
      <c r="F3" s="65">
        <v>1.7069271758436946</v>
      </c>
      <c r="G3" s="65">
        <v>0.57304710793082891</v>
      </c>
      <c r="H3" s="65">
        <v>2.6774193548387095</v>
      </c>
      <c r="I3" s="65">
        <v>2.9751332149200711</v>
      </c>
      <c r="J3" s="72">
        <v>0.15844636251541308</v>
      </c>
      <c r="K3" s="72">
        <v>0.10234278668310727</v>
      </c>
      <c r="L3" s="72">
        <v>4.2262638717632563E-2</v>
      </c>
      <c r="M3" s="72">
        <v>0.12175843694493785</v>
      </c>
      <c r="N3" s="72">
        <v>4.0876565295169955E-2</v>
      </c>
      <c r="O3" s="65">
        <v>1.8028761837951595</v>
      </c>
      <c r="P3" s="65">
        <v>0.16129032258064516</v>
      </c>
      <c r="Q3" s="65">
        <v>37.355117139334155</v>
      </c>
      <c r="R3" s="65">
        <v>79.885943279901355</v>
      </c>
      <c r="S3" s="65">
        <v>0.9672033392963626</v>
      </c>
      <c r="T3" s="65" t="s">
        <v>178</v>
      </c>
      <c r="U3" s="65" t="s">
        <v>178</v>
      </c>
      <c r="V3" s="65">
        <v>2.202090584643865</v>
      </c>
      <c r="W3" t="s">
        <v>393</v>
      </c>
      <c r="X3" s="73">
        <v>257</v>
      </c>
      <c r="Y3" s="73">
        <v>166</v>
      </c>
      <c r="Z3" s="73">
        <v>106</v>
      </c>
      <c r="AA3" s="65">
        <v>68.550000000000011</v>
      </c>
      <c r="AB3">
        <v>1622</v>
      </c>
    </row>
    <row r="4" spans="2:28" x14ac:dyDescent="0.3">
      <c r="B4" t="s">
        <v>30</v>
      </c>
      <c r="C4" s="65">
        <v>3.1230769230769231</v>
      </c>
      <c r="D4" s="65">
        <v>1.5615384615384615</v>
      </c>
      <c r="E4" s="65">
        <v>3.8461538461538464E-3</v>
      </c>
      <c r="F4" s="65">
        <v>0.78538812785388123</v>
      </c>
      <c r="G4" s="65">
        <v>0.37719298245614036</v>
      </c>
      <c r="H4" s="65">
        <v>10.254545454545454</v>
      </c>
      <c r="I4" s="65">
        <v>2.0821917808219177</v>
      </c>
      <c r="J4" s="72">
        <v>0.24200743494423793</v>
      </c>
      <c r="K4" s="72">
        <v>0.20966542750929368</v>
      </c>
      <c r="L4" s="72">
        <v>0.12038661710037175</v>
      </c>
      <c r="M4" s="72">
        <v>0.3696803652968037</v>
      </c>
      <c r="N4" s="72">
        <v>0.17754385964912284</v>
      </c>
      <c r="O4" s="65">
        <v>1.9821575373747833</v>
      </c>
      <c r="P4" s="65">
        <v>0.62645348837209303</v>
      </c>
      <c r="Q4" s="65">
        <v>32.70074349442379</v>
      </c>
      <c r="R4" s="65">
        <v>55.089219330855016</v>
      </c>
      <c r="S4" s="65">
        <v>1.4747807017543859</v>
      </c>
      <c r="T4" s="65">
        <v>0.65844636251541311</v>
      </c>
      <c r="U4" s="65">
        <v>3.7241429613420856</v>
      </c>
      <c r="V4" s="65">
        <v>4.0081140350877194</v>
      </c>
      <c r="W4" t="s">
        <v>394</v>
      </c>
      <c r="X4" s="73">
        <v>651</v>
      </c>
      <c r="Y4" s="73">
        <v>564</v>
      </c>
      <c r="Z4" s="73">
        <v>506</v>
      </c>
      <c r="AA4" s="65">
        <v>323.84000000000003</v>
      </c>
      <c r="AB4">
        <v>2690</v>
      </c>
    </row>
    <row r="5" spans="2:28" x14ac:dyDescent="0.3">
      <c r="B5" t="s">
        <v>31</v>
      </c>
      <c r="C5" s="65">
        <v>4.143540669856459</v>
      </c>
      <c r="D5" s="65">
        <v>1.7894736842105263</v>
      </c>
      <c r="E5" s="65">
        <v>0</v>
      </c>
      <c r="F5" s="65">
        <v>0.95238095238095233</v>
      </c>
      <c r="G5" s="65">
        <v>0.44203879115922418</v>
      </c>
      <c r="H5" s="65">
        <v>5.5263157894736841</v>
      </c>
      <c r="I5" s="65">
        <v>2.1554907677356656</v>
      </c>
      <c r="J5" s="72">
        <v>0.12354409317803661</v>
      </c>
      <c r="K5" s="72">
        <v>8.7354409317803666E-2</v>
      </c>
      <c r="L5" s="72">
        <v>6.84026622296173E-2</v>
      </c>
      <c r="M5" s="72">
        <v>0.15980563654033042</v>
      </c>
      <c r="N5" s="72">
        <v>7.4172304916553897E-2</v>
      </c>
      <c r="O5" s="65">
        <v>2.2920203735144309</v>
      </c>
      <c r="P5" s="65">
        <v>0.19795918367346937</v>
      </c>
      <c r="Q5" s="65">
        <v>33.858153078202996</v>
      </c>
      <c r="R5" s="65">
        <v>74.700499168053256</v>
      </c>
      <c r="S5" s="65">
        <v>1.0843482183130357</v>
      </c>
      <c r="T5" s="65">
        <v>-0.10631970260223045</v>
      </c>
      <c r="U5" s="65">
        <v>-0.49221837944664038</v>
      </c>
      <c r="V5" s="65">
        <v>2.7002556277766727</v>
      </c>
      <c r="W5" t="s">
        <v>393</v>
      </c>
      <c r="X5" s="73">
        <v>297</v>
      </c>
      <c r="Y5" s="73">
        <v>210</v>
      </c>
      <c r="Z5" s="73">
        <v>175</v>
      </c>
      <c r="AA5" s="65">
        <v>164.44</v>
      </c>
      <c r="AB5">
        <v>2404</v>
      </c>
    </row>
    <row r="6" spans="2:28" x14ac:dyDescent="0.3">
      <c r="B6" t="s">
        <v>32</v>
      </c>
      <c r="C6" s="65">
        <v>4.3506493506493502</v>
      </c>
      <c r="D6" s="65">
        <v>1.9090909090909092</v>
      </c>
      <c r="E6" s="65">
        <v>0</v>
      </c>
      <c r="F6" s="65">
        <v>1.168411867364747</v>
      </c>
      <c r="G6" s="65">
        <v>0.49300441826215025</v>
      </c>
      <c r="H6" s="65">
        <v>3.1204819277108435</v>
      </c>
      <c r="I6" s="65">
        <v>2.3699825479930192</v>
      </c>
      <c r="J6" s="72">
        <v>0.12991040661612682</v>
      </c>
      <c r="K6" s="72">
        <v>8.9248793935217091E-2</v>
      </c>
      <c r="L6" s="72">
        <v>4.5389386629910405E-2</v>
      </c>
      <c r="M6" s="72">
        <v>0.11493891797556718</v>
      </c>
      <c r="N6" s="72">
        <v>4.8497790868924889E-2</v>
      </c>
      <c r="O6" s="65">
        <v>1.9846283428090126</v>
      </c>
      <c r="P6" s="65">
        <v>0.12173263629574309</v>
      </c>
      <c r="Q6" s="65">
        <v>40.373880082701589</v>
      </c>
      <c r="R6" s="65">
        <v>70.937284631288762</v>
      </c>
      <c r="S6" s="65">
        <v>1.0684830633284241</v>
      </c>
      <c r="T6" s="65">
        <v>0.20715474209650586</v>
      </c>
      <c r="U6" s="65">
        <v>-0.19897835076623693</v>
      </c>
      <c r="V6" s="65">
        <v>2.7208762886597935</v>
      </c>
      <c r="W6" t="s">
        <v>393</v>
      </c>
      <c r="X6" s="73">
        <v>377</v>
      </c>
      <c r="Y6" s="73">
        <v>259</v>
      </c>
      <c r="Z6" s="73">
        <v>178</v>
      </c>
      <c r="AA6" s="65">
        <v>131.72</v>
      </c>
      <c r="AB6">
        <v>2902</v>
      </c>
    </row>
    <row r="7" spans="2:28" x14ac:dyDescent="0.3">
      <c r="B7" t="s">
        <v>33</v>
      </c>
      <c r="C7" s="65">
        <v>4.484375</v>
      </c>
      <c r="D7" s="65">
        <v>2.11328125</v>
      </c>
      <c r="E7" s="65">
        <v>3.90625E-2</v>
      </c>
      <c r="F7" s="65">
        <v>0.88863463005339438</v>
      </c>
      <c r="G7" s="65">
        <v>0.42642752562225478</v>
      </c>
      <c r="H7" s="65">
        <v>3.588888888888889</v>
      </c>
      <c r="I7" s="65">
        <v>2.083905415713196</v>
      </c>
      <c r="J7" s="72">
        <v>0.14272727272727273</v>
      </c>
      <c r="K7" s="72">
        <v>9.7878787878787885E-2</v>
      </c>
      <c r="L7" s="72">
        <v>5.3145454545454544E-2</v>
      </c>
      <c r="M7" s="72">
        <v>0.13377574370709383</v>
      </c>
      <c r="N7" s="72">
        <v>6.4194729136163975E-2</v>
      </c>
      <c r="O7" s="65">
        <v>1.7815265905136546</v>
      </c>
      <c r="P7" s="65">
        <v>0.263519313304721</v>
      </c>
      <c r="Q7" s="65">
        <v>47.560606060606062</v>
      </c>
      <c r="R7" s="65">
        <v>67.13787878787879</v>
      </c>
      <c r="S7" s="65">
        <v>1.2079062957540263</v>
      </c>
      <c r="T7" s="65">
        <v>0.13714679531357676</v>
      </c>
      <c r="U7" s="65">
        <v>0.3314606741573034</v>
      </c>
      <c r="V7" s="65">
        <v>3.2241947291361637</v>
      </c>
      <c r="W7" t="s">
        <v>394</v>
      </c>
      <c r="X7" s="73">
        <v>471</v>
      </c>
      <c r="Y7" s="73">
        <v>323</v>
      </c>
      <c r="Z7" s="73">
        <v>237</v>
      </c>
      <c r="AA7" s="65">
        <v>175.38</v>
      </c>
      <c r="AB7">
        <v>3300</v>
      </c>
    </row>
    <row r="9" spans="2:28" x14ac:dyDescent="0.3">
      <c r="S9" s="73"/>
      <c r="T9" s="73"/>
      <c r="U9" s="73"/>
      <c r="V9" s="73"/>
      <c r="W9" s="73"/>
    </row>
    <row r="11" spans="2:28" x14ac:dyDescent="0.3">
      <c r="W11" s="73"/>
    </row>
    <row r="12" spans="2:28" x14ac:dyDescent="0.3">
      <c r="W12" s="73"/>
    </row>
    <row r="13" spans="2:28" x14ac:dyDescent="0.3">
      <c r="W13" s="73"/>
    </row>
    <row r="14" spans="2:28" x14ac:dyDescent="0.3">
      <c r="W14" s="73"/>
    </row>
    <row r="15" spans="2:28" x14ac:dyDescent="0.3">
      <c r="W15" s="73"/>
    </row>
    <row r="31" spans="2:7" x14ac:dyDescent="0.3">
      <c r="B31" s="59"/>
      <c r="C31" s="65"/>
      <c r="D31" s="65"/>
      <c r="E31" s="65"/>
      <c r="F31" s="65"/>
      <c r="G31" s="65"/>
    </row>
    <row r="32" spans="2:7" x14ac:dyDescent="0.3">
      <c r="B32" s="59"/>
      <c r="C32" s="65"/>
      <c r="D32" s="65"/>
      <c r="E32" s="65"/>
      <c r="F32" s="65"/>
      <c r="G32" s="65"/>
    </row>
    <row r="33" spans="2:7" x14ac:dyDescent="0.3">
      <c r="B33" s="59"/>
      <c r="C33" s="65"/>
      <c r="D33" s="65"/>
      <c r="E33" s="65"/>
      <c r="F33" s="65"/>
      <c r="G33" s="65"/>
    </row>
    <row r="34" spans="2:7" x14ac:dyDescent="0.3">
      <c r="B34" s="59"/>
      <c r="C34" s="65"/>
      <c r="D34" s="65"/>
      <c r="E34" s="65"/>
      <c r="F34" s="65"/>
      <c r="G34" s="65"/>
    </row>
    <row r="35" spans="2:7" x14ac:dyDescent="0.3">
      <c r="B35" s="59"/>
      <c r="C35" s="65"/>
      <c r="D35" s="65"/>
      <c r="E35" s="65"/>
      <c r="F35" s="65"/>
      <c r="G35" s="65"/>
    </row>
    <row r="36" spans="2:7" x14ac:dyDescent="0.3">
      <c r="B36" s="59"/>
      <c r="C36" s="65"/>
      <c r="D36" s="65"/>
      <c r="E36" s="65"/>
      <c r="F36" s="65"/>
      <c r="G36" s="65"/>
    </row>
    <row r="37" spans="2:7" x14ac:dyDescent="0.3">
      <c r="B37" s="59"/>
      <c r="C37" s="65"/>
      <c r="D37" s="65"/>
      <c r="E37" s="65"/>
      <c r="F37" s="65"/>
      <c r="G37" s="65"/>
    </row>
    <row r="38" spans="2:7" x14ac:dyDescent="0.3">
      <c r="B38" s="59"/>
      <c r="C38" s="72"/>
      <c r="D38" s="72"/>
      <c r="E38" s="72"/>
      <c r="F38" s="72"/>
      <c r="G38" s="72"/>
    </row>
    <row r="39" spans="2:7" x14ac:dyDescent="0.3">
      <c r="B39" s="59"/>
      <c r="C39" s="72"/>
      <c r="D39" s="72"/>
      <c r="E39" s="72"/>
      <c r="F39" s="72"/>
      <c r="G39" s="72"/>
    </row>
    <row r="40" spans="2:7" x14ac:dyDescent="0.3">
      <c r="B40" s="59"/>
      <c r="C40" s="72"/>
      <c r="D40" s="72"/>
      <c r="E40" s="72"/>
      <c r="F40" s="72"/>
      <c r="G40" s="72"/>
    </row>
    <row r="41" spans="2:7" x14ac:dyDescent="0.3">
      <c r="B41" s="59"/>
      <c r="C41" s="72"/>
      <c r="D41" s="72"/>
      <c r="E41" s="72"/>
      <c r="F41" s="72"/>
      <c r="G41" s="72"/>
    </row>
    <row r="42" spans="2:7" x14ac:dyDescent="0.3">
      <c r="B42" s="59"/>
      <c r="C42" s="72"/>
      <c r="D42" s="72"/>
      <c r="E42" s="72"/>
      <c r="F42" s="72"/>
      <c r="G42" s="72"/>
    </row>
    <row r="43" spans="2:7" x14ac:dyDescent="0.3">
      <c r="B43" s="59"/>
      <c r="C43" s="65"/>
      <c r="D43" s="65"/>
      <c r="E43" s="65"/>
      <c r="F43" s="65"/>
      <c r="G43" s="65"/>
    </row>
    <row r="44" spans="2:7" x14ac:dyDescent="0.3">
      <c r="B44" s="59"/>
      <c r="C44" s="65"/>
      <c r="D44" s="65"/>
      <c r="E44" s="65"/>
      <c r="F44" s="65"/>
      <c r="G44" s="65"/>
    </row>
    <row r="45" spans="2:7" x14ac:dyDescent="0.3">
      <c r="B45" s="59"/>
      <c r="C45" s="65"/>
      <c r="D45" s="65"/>
      <c r="E45" s="65"/>
      <c r="F45" s="65"/>
      <c r="G45" s="65"/>
    </row>
    <row r="46" spans="2:7" x14ac:dyDescent="0.3">
      <c r="B46" s="59"/>
      <c r="C46" s="65"/>
      <c r="D46" s="65"/>
      <c r="E46" s="65"/>
      <c r="F46" s="65"/>
      <c r="G46" s="65"/>
    </row>
    <row r="47" spans="2:7" x14ac:dyDescent="0.3">
      <c r="B47" s="59"/>
      <c r="C47" s="65"/>
      <c r="D47" s="65"/>
      <c r="E47" s="65"/>
      <c r="F47" s="65"/>
      <c r="G47" s="65"/>
    </row>
    <row r="48" spans="2:7" x14ac:dyDescent="0.3">
      <c r="B48" s="59"/>
      <c r="C48" s="72"/>
      <c r="D48" s="72"/>
      <c r="E48" s="72"/>
      <c r="F48" s="72"/>
      <c r="G48" s="72"/>
    </row>
    <row r="49" spans="2:7" x14ac:dyDescent="0.3">
      <c r="B49" s="59"/>
      <c r="C49" s="72"/>
      <c r="D49" s="72"/>
      <c r="E49" s="72"/>
      <c r="F49" s="72"/>
      <c r="G49" s="72"/>
    </row>
    <row r="50" spans="2:7" x14ac:dyDescent="0.3">
      <c r="B50" s="59"/>
      <c r="C50" s="65"/>
      <c r="D50" s="65"/>
      <c r="E50" s="65"/>
      <c r="F50" s="65"/>
      <c r="G50" s="65"/>
    </row>
    <row r="51" spans="2:7" x14ac:dyDescent="0.3">
      <c r="B51" s="59"/>
    </row>
    <row r="52" spans="2:7" x14ac:dyDescent="0.3">
      <c r="C52" s="65"/>
      <c r="D52" s="65"/>
      <c r="E52" s="65"/>
      <c r="F52" s="65"/>
      <c r="G52" s="65"/>
    </row>
    <row r="53" spans="2:7" x14ac:dyDescent="0.3">
      <c r="C53" s="65"/>
      <c r="D53" s="65"/>
      <c r="E53" s="65"/>
      <c r="F53" s="65"/>
      <c r="G53" s="65"/>
    </row>
    <row r="54" spans="2:7" x14ac:dyDescent="0.3">
      <c r="C54" s="65"/>
      <c r="D54" s="65"/>
      <c r="E54" s="65"/>
      <c r="F54" s="65"/>
      <c r="G54" s="65"/>
    </row>
    <row r="55" spans="2:7" x14ac:dyDescent="0.3">
      <c r="C55" s="65"/>
      <c r="D55" s="65"/>
      <c r="E55" s="65"/>
      <c r="F55" s="65"/>
      <c r="G55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1_Financial_Data</vt:lpstr>
      <vt:lpstr>2_Ratio_Analysis</vt:lpstr>
      <vt:lpstr>3_Altman_ZScore</vt:lpstr>
      <vt:lpstr>4_Credit_Rating</vt:lpstr>
      <vt:lpstr>5_Peer_Comparison</vt:lpstr>
      <vt:lpstr>Raw datasheet</vt:lpstr>
      <vt:lpstr>Sql Export</vt:lpstr>
      <vt:lpstr>Pbi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Avantika Pandey</cp:lastModifiedBy>
  <cp:revision>0</cp:revision>
  <dcterms:created xsi:type="dcterms:W3CDTF">2026-04-26T11:24:08Z</dcterms:created>
  <dcterms:modified xsi:type="dcterms:W3CDTF">2026-05-26T10:25:37Z</dcterms:modified>
  <dc:language>en-US</dc:language>
</cp:coreProperties>
</file>